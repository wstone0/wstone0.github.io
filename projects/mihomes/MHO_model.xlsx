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Assumptions" sheetId="3" state="visible" r:id="rId3"/>
    <sheet name="Historicals" sheetId="4" state="visible" r:id="rId4"/>
    <sheet name="Segment Build" sheetId="5" state="visible" r:id="rId5"/>
    <sheet name="IS" sheetId="6" state="visible" r:id="rId6"/>
    <sheet name="BS" sheetId="7" state="visible" r:id="rId7"/>
    <sheet name="CF" sheetId="8" state="visible" r:id="rId8"/>
    <sheet name="DCF" sheetId="9" state="visible" r:id="rId9"/>
    <sheet name="Comps" sheetId="10" state="visible" r:id="rId10"/>
    <sheet name="Sensitivity" sheetId="11" state="visible" r:id="rId11"/>
  </sheets>
  <definedNames/>
  <calcPr calcId="124519" fullCalcOnLoad="1"/>
</workbook>
</file>

<file path=xl/styles.xml><?xml version="1.0" encoding="utf-8"?>
<styleSheet xmlns="http://schemas.openxmlformats.org/spreadsheetml/2006/main">
  <numFmts count="10">
    <numFmt numFmtId="164" formatCode="0.00&quot;%&quot;"/>
    <numFmt numFmtId="165" formatCode="#,##0.00;(#,##0.00);&quot;—&quot;"/>
    <numFmt numFmtId="166" formatCode="#,##0;(#,##0);&quot;—&quot;"/>
    <numFmt numFmtId="167" formatCode="0.0&quot;%&quot;"/>
    <numFmt numFmtId="168" formatCode="#,##0.0;(#,##0.0);&quot;—&quot;"/>
    <numFmt numFmtId="169" formatCode="$#,##0.00"/>
    <numFmt numFmtId="170" formatCode="0.0%;(0.0%);&quot;—&quot;"/>
    <numFmt numFmtId="171" formatCode="0.00&quot;x&quot;"/>
    <numFmt numFmtId="172" formatCode="#,##0.00;(#,##0.00);&quot;—&quot;00"/>
    <numFmt numFmtId="173" formatCode="$#,##0"/>
  </numFmts>
  <fonts count="9">
    <font>
      <name val="Calibri"/>
      <family val="2"/>
      <color theme="1"/>
      <sz val="11"/>
      <scheme val="minor"/>
    </font>
    <font>
      <name val="Calibri"/>
      <b val="1"/>
      <color rgb="0016222E"/>
      <sz val="15"/>
    </font>
    <font>
      <name val="Calibri"/>
      <i val="1"/>
      <color rgb="006B7C8C"/>
      <sz val="9"/>
    </font>
    <font>
      <name val="Calibri"/>
      <b val="1"/>
      <color rgb="00FFFFFF"/>
      <sz val="10"/>
    </font>
    <font>
      <name val="Calibri"/>
      <color rgb="0016222E"/>
      <sz val="10"/>
    </font>
    <font>
      <name val="Calibri"/>
      <color rgb="000B3FA8"/>
      <sz val="10"/>
    </font>
    <font>
      <name val="Calibri"/>
      <b val="1"/>
      <color rgb="0016222E"/>
      <sz val="10"/>
    </font>
    <font>
      <name val="Calibri"/>
      <color rgb="000B6B4F"/>
      <sz val="10"/>
    </font>
    <font>
      <name val="Calibri"/>
      <b val="1"/>
      <color rgb="000B6B4F"/>
      <sz val="10"/>
    </font>
  </fonts>
  <fills count="7">
    <fill>
      <patternFill/>
    </fill>
    <fill>
      <patternFill patternType="gray125"/>
    </fill>
    <fill>
      <patternFill patternType="solid">
        <fgColor rgb="001F3348"/>
      </patternFill>
    </fill>
    <fill>
      <patternFill patternType="solid">
        <fgColor rgb="0034506B"/>
      </patternFill>
    </fill>
    <fill>
      <patternFill patternType="solid">
        <fgColor rgb="00EEF3F8"/>
      </patternFill>
    </fill>
    <fill>
      <patternFill patternType="solid">
        <fgColor rgb="00E4EAF0"/>
      </patternFill>
    </fill>
    <fill>
      <patternFill patternType="solid">
        <fgColor rgb="00FFF4D6"/>
      </patternFill>
    </fill>
  </fills>
  <borders count="2">
    <border>
      <left/>
      <right/>
      <top/>
      <bottom/>
      <diagonal/>
    </border>
    <border>
      <top style="thin">
        <color rgb="00B7C4D1"/>
      </top>
    </border>
  </borders>
  <cellStyleXfs count="1">
    <xf numFmtId="0" fontId="0" fillId="0" borderId="0"/>
  </cellStyleXfs>
  <cellXfs count="89">
    <xf numFmtId="0" fontId="0" fillId="0" borderId="0" pivotButton="0" quotePrefix="0" xfId="0"/>
    <xf numFmtId="0" fontId="1" fillId="0" borderId="0" pivotButton="0" quotePrefix="0" xfId="0"/>
    <xf numFmtId="0" fontId="2" fillId="0" borderId="0" pivotButton="0" quotePrefix="0" xfId="0"/>
    <xf numFmtId="0" fontId="3" fillId="3" borderId="0" applyAlignment="1" pivotButton="0" quotePrefix="0" xfId="0">
      <alignment horizontal="left" vertical="center" indent="1"/>
    </xf>
    <xf numFmtId="0" fontId="6" fillId="0" borderId="0" applyAlignment="1" pivotButton="0" quotePrefix="0" xfId="0">
      <alignment vertical="top" indent="1"/>
    </xf>
    <xf numFmtId="0" fontId="0" fillId="0" borderId="0" applyAlignment="1" pivotButton="0" quotePrefix="0" xfId="0">
      <alignment vertical="top" wrapText="1"/>
    </xf>
    <xf numFmtId="0" fontId="6" fillId="0" borderId="0" applyAlignment="1" pivotButton="0" quotePrefix="0" xfId="0">
      <alignment indent="1"/>
    </xf>
    <xf numFmtId="49" fontId="6" fillId="6" borderId="0" pivotButton="0" quotePrefix="0" xfId="0"/>
    <xf numFmtId="169" fontId="6" fillId="6" borderId="0" pivotButton="0" quotePrefix="0" xfId="0"/>
    <xf numFmtId="0" fontId="2" fillId="0" borderId="0" applyAlignment="1" pivotButton="0" quotePrefix="0" xfId="0">
      <alignment vertical="top" wrapText="1"/>
    </xf>
    <xf numFmtId="0" fontId="4" fillId="0" borderId="0" applyAlignment="1" pivotButton="0" quotePrefix="0" xfId="0">
      <alignment indent="1"/>
    </xf>
    <xf numFmtId="169" fontId="4" fillId="0" borderId="0" pivotButton="0" quotePrefix="0" xfId="0"/>
    <xf numFmtId="170" fontId="6" fillId="5" borderId="0" pivotButton="0" quotePrefix="0" xfId="0"/>
    <xf numFmtId="166" fontId="4" fillId="0" borderId="0" pivotButton="0" quotePrefix="0" xfId="0"/>
    <xf numFmtId="0" fontId="0" fillId="0" borderId="0" applyAlignment="1" pivotButton="0" quotePrefix="0" xfId="0">
      <alignment indent="1"/>
    </xf>
    <xf numFmtId="0" fontId="3" fillId="2" borderId="0" pivotButton="0" quotePrefix="0" xfId="0"/>
    <xf numFmtId="170" fontId="4" fillId="0" borderId="0" pivotButton="0" quotePrefix="0" xfId="0"/>
    <xf numFmtId="170" fontId="5" fillId="4" borderId="0" pivotButton="0" quotePrefix="0" xfId="0"/>
    <xf numFmtId="0" fontId="6" fillId="0" borderId="1" pivotButton="0" quotePrefix="0" xfId="0"/>
    <xf numFmtId="0" fontId="0" fillId="0" borderId="1" pivotButton="0" quotePrefix="0" xfId="0"/>
    <xf numFmtId="170" fontId="6" fillId="0" borderId="1" pivotButton="0" quotePrefix="0" xfId="0"/>
    <xf numFmtId="169" fontId="6" fillId="6" borderId="1" pivotButton="0" quotePrefix="0" xfId="0"/>
    <xf numFmtId="0" fontId="2" fillId="0" borderId="0" applyAlignment="1" pivotButton="0" quotePrefix="0" xfId="0">
      <alignment indent="1"/>
    </xf>
    <xf numFmtId="169" fontId="2" fillId="0" borderId="0" pivotButton="0" quotePrefix="0" xfId="0"/>
    <xf numFmtId="0" fontId="6" fillId="0" borderId="0" pivotButton="0" quotePrefix="0" xfId="0"/>
    <xf numFmtId="169" fontId="5" fillId="4" borderId="0" pivotButton="0" quotePrefix="0" xfId="0"/>
    <xf numFmtId="170" fontId="0" fillId="0" borderId="0" pivotButton="0" quotePrefix="0" xfId="0"/>
    <xf numFmtId="0" fontId="6" fillId="5" borderId="0" pivotButton="0" quotePrefix="0" xfId="0"/>
    <xf numFmtId="169" fontId="4" fillId="5" borderId="0" pivotButton="0" quotePrefix="0" xfId="0"/>
    <xf numFmtId="170" fontId="4" fillId="5" borderId="0" pivotButton="0" quotePrefix="0" xfId="0"/>
    <xf numFmtId="169" fontId="5" fillId="5" borderId="0" pivotButton="0" quotePrefix="0" xfId="0"/>
    <xf numFmtId="170" fontId="0" fillId="5" borderId="0" pivotButton="0" quotePrefix="0" xfId="0"/>
    <xf numFmtId="0" fontId="3" fillId="2" borderId="0" applyAlignment="1" pivotButton="0" quotePrefix="0" xfId="0">
      <alignment vertical="center" indent="1"/>
    </xf>
    <xf numFmtId="0" fontId="3" fillId="2" borderId="0" applyAlignment="1" pivotButton="0" quotePrefix="0" xfId="0">
      <alignment horizontal="center"/>
    </xf>
    <xf numFmtId="170" fontId="6" fillId="0" borderId="0" pivotButton="0" quotePrefix="0" xfId="0"/>
    <xf numFmtId="169" fontId="6" fillId="0" borderId="0" pivotButton="0" quotePrefix="0" xfId="0"/>
    <xf numFmtId="0" fontId="3" fillId="2" borderId="0" applyAlignment="1" pivotButton="0" quotePrefix="0" xfId="0">
      <alignment horizontal="left" vertical="center" indent="1"/>
    </xf>
    <xf numFmtId="0" fontId="3" fillId="2" borderId="0" applyAlignment="1" pivotButton="0" quotePrefix="0" xfId="0">
      <alignment horizontal="center" vertical="center"/>
    </xf>
    <xf numFmtId="0" fontId="4" fillId="0" borderId="0" applyAlignment="1" pivotButton="0" quotePrefix="0" xfId="0">
      <alignment horizontal="left" indent="1"/>
    </xf>
    <xf numFmtId="164" fontId="5" fillId="4" borderId="0" pivotButton="0" quotePrefix="0" xfId="0"/>
    <xf numFmtId="165" fontId="5" fillId="4" borderId="0" pivotButton="0" quotePrefix="0" xfId="0"/>
    <xf numFmtId="166" fontId="5" fillId="4" borderId="0" pivotButton="0" quotePrefix="0" xfId="0"/>
    <xf numFmtId="167" fontId="5" fillId="4" borderId="0" pivotButton="0" quotePrefix="0" xfId="0"/>
    <xf numFmtId="168" fontId="5" fillId="4" borderId="0" pivotButton="0" quotePrefix="0" xfId="0"/>
    <xf numFmtId="0" fontId="6" fillId="0" borderId="1" applyAlignment="1" pivotButton="0" quotePrefix="0" xfId="0">
      <alignment horizontal="left" indent="1"/>
    </xf>
    <xf numFmtId="166" fontId="6" fillId="5" borderId="1" pivotButton="0" quotePrefix="0" xfId="0"/>
    <xf numFmtId="0" fontId="4" fillId="0" borderId="0" applyAlignment="1" pivotButton="0" quotePrefix="0" xfId="0">
      <alignment horizontal="left" indent="2"/>
    </xf>
    <xf numFmtId="166" fontId="5" fillId="5" borderId="1" pivotButton="0" quotePrefix="0" xfId="0"/>
    <xf numFmtId="168" fontId="4" fillId="0" borderId="0" pivotButton="0" quotePrefix="0" xfId="0"/>
    <xf numFmtId="0" fontId="6" fillId="0" borderId="0" applyAlignment="1" pivotButton="0" quotePrefix="0" xfId="0">
      <alignment horizontal="left" indent="1"/>
    </xf>
    <xf numFmtId="165" fontId="4" fillId="0" borderId="0" pivotButton="0" quotePrefix="0" xfId="0"/>
    <xf numFmtId="166" fontId="7" fillId="0" borderId="0" pivotButton="0" quotePrefix="0" xfId="0"/>
    <xf numFmtId="164" fontId="4" fillId="0" borderId="0" pivotButton="0" quotePrefix="0" xfId="0"/>
    <xf numFmtId="168" fontId="8" fillId="0" borderId="0" pivotButton="0" quotePrefix="0" xfId="0"/>
    <xf numFmtId="168" fontId="6" fillId="0" borderId="0" pivotButton="0" quotePrefix="0" xfId="0"/>
    <xf numFmtId="168" fontId="7" fillId="0" borderId="0" pivotButton="0" quotePrefix="0" xfId="0"/>
    <xf numFmtId="0" fontId="6" fillId="0" borderId="0" applyAlignment="1" pivotButton="0" quotePrefix="0" xfId="0">
      <alignment horizontal="left" indent="2"/>
    </xf>
    <xf numFmtId="165" fontId="6" fillId="5" borderId="1" pivotButton="0" quotePrefix="0" xfId="0"/>
    <xf numFmtId="166" fontId="6" fillId="0" borderId="0" pivotButton="0" quotePrefix="0" xfId="0"/>
    <xf numFmtId="165" fontId="6" fillId="6" borderId="0" pivotButton="0" quotePrefix="0" xfId="0"/>
    <xf numFmtId="171" fontId="4" fillId="0" borderId="0" pivotButton="0" quotePrefix="0" xfId="0"/>
    <xf numFmtId="164" fontId="6" fillId="5" borderId="0" pivotButton="0" quotePrefix="0" xfId="0"/>
    <xf numFmtId="0" fontId="0" fillId="2" borderId="0" pivotButton="0" quotePrefix="0" xfId="0"/>
    <xf numFmtId="172" fontId="4" fillId="0" borderId="0" pivotButton="0" quotePrefix="0" xfId="0"/>
    <xf numFmtId="166" fontId="6" fillId="5" borderId="0" pivotButton="0" quotePrefix="0" xfId="0"/>
    <xf numFmtId="170" fontId="6" fillId="6" borderId="0" pivotButton="0" quotePrefix="0" xfId="0"/>
    <xf numFmtId="170" fontId="3" fillId="2" borderId="0" applyAlignment="1" pivotButton="0" quotePrefix="0" xfId="0">
      <alignment horizontal="center"/>
    </xf>
    <xf numFmtId="164" fontId="3" fillId="2" borderId="0" applyAlignment="1" pivotButton="0" quotePrefix="0" xfId="0">
      <alignment horizontal="center"/>
    </xf>
    <xf numFmtId="173" fontId="4" fillId="0" borderId="0" pivotButton="0" quotePrefix="0" xfId="0"/>
    <xf numFmtId="173" fontId="6" fillId="6"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0" borderId="0" pivotButton="0" quotePrefix="0" xfId="0"/>
    <xf numFmtId="171" fontId="5" fillId="4" borderId="0" pivotButton="0" quotePrefix="0" xfId="0"/>
    <xf numFmtId="171" fontId="4" fillId="6" borderId="0" pivotButton="0" quotePrefix="0" xfId="0"/>
    <xf numFmtId="171" fontId="6" fillId="5" borderId="1" pivotButton="0" quotePrefix="0" xfId="0"/>
    <xf numFmtId="170" fontId="6" fillId="5" borderId="1" pivotButton="0" quotePrefix="0" xfId="0"/>
    <xf numFmtId="171" fontId="6" fillId="0" borderId="0" pivotButton="0" quotePrefix="0" xfId="0"/>
    <xf numFmtId="165" fontId="5" fillId="5" borderId="0" pivotButton="0" quotePrefix="0" xfId="0"/>
    <xf numFmtId="166" fontId="5" fillId="5" borderId="0" pivotButton="0" quotePrefix="0" xfId="0"/>
    <xf numFmtId="171" fontId="5" fillId="5" borderId="0" pivotButton="0" quotePrefix="0" xfId="0"/>
    <xf numFmtId="168" fontId="6" fillId="5" borderId="0" pivotButton="0" quotePrefix="0" xfId="0"/>
    <xf numFmtId="165" fontId="6" fillId="5" borderId="0" pivotButton="0" quotePrefix="0" xfId="0"/>
    <xf numFmtId="171" fontId="6" fillId="5" borderId="0" pivotButton="0" quotePrefix="0" xfId="0"/>
    <xf numFmtId="167" fontId="4" fillId="0" borderId="0" pivotButton="0" quotePrefix="0" xfId="0"/>
    <xf numFmtId="169" fontId="6" fillId="5" borderId="0" pivotButton="0" quotePrefix="0" xfId="0"/>
    <xf numFmtId="164" fontId="7" fillId="0" borderId="0" pivotButton="0" quotePrefix="0" xfId="0"/>
    <xf numFmtId="165" fontId="7" fillId="0" borderId="0" pivotButton="0" quotePrefix="0" xfId="0"/>
    <xf numFmtId="167"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6"/>
  <sheetViews>
    <sheetView showGridLines="0" zoomScale="100" workbookViewId="0">
      <selection activeCell="A1" sqref="A1"/>
    </sheetView>
  </sheetViews>
  <sheetFormatPr baseColWidth="8" defaultRowHeight="15"/>
  <cols>
    <col width="2.2" customWidth="1" min="1" max="1"/>
    <col width="34" customWidth="1" min="2" max="2"/>
    <col width="108" customWidth="1" min="3" max="3"/>
  </cols>
  <sheetData>
    <row r="2" ht="22" customHeight="1">
      <c r="B2" s="1" t="inlineStr">
        <is>
          <t>M/I Homes (MHO) — Coverage Initiation Model</t>
        </is>
      </c>
    </row>
    <row r="3">
      <c r="B3" s="2" t="inlineStr">
        <is>
          <t>Three-statement model, DCF and comparable companies analysis. Built 04-Sep-2026; market data refreshed 11-Sep-2026.</t>
        </is>
      </c>
    </row>
    <row r="5" ht="15.5" customHeight="1">
      <c r="B5" s="3" t="inlineStr">
        <is>
          <t>HOW TO USE THIS WORKBOOK</t>
        </is>
      </c>
      <c r="C5" s="3" t="n"/>
    </row>
    <row r="6" ht="24" customHeight="1">
      <c r="B6" s="4" t="inlineStr">
        <is>
          <t>Colour convention</t>
        </is>
      </c>
      <c r="C6" s="5" t="inlineStr">
        <is>
          <t>Blue = hard-coded input. Black = formula. Green = link to another sheet. Yellow = model output. Only blue cells should ever be typed over.</t>
        </is>
      </c>
    </row>
    <row r="7" ht="24" customHeight="1">
      <c r="B7" s="4" t="inlineStr">
        <is>
          <t>Order of sheets</t>
        </is>
      </c>
      <c r="C7" s="5" t="inlineStr">
        <is>
          <t>Assumptions → Historicals → Segment Build → IS → BS → CF → DCF → Comps → Sensitivity → Summary. Everything projected flows from Assumptions.</t>
        </is>
      </c>
    </row>
    <row r="8" ht="24" customHeight="1">
      <c r="B8" s="4" t="inlineStr">
        <is>
          <t>Where to flex first</t>
        </is>
      </c>
      <c r="C8" s="5" t="inlineStr">
        <is>
          <t>Assumptions, the "Southern competition premium" row. That single input carries the thesis. The Sensitivity sheet flexes it against mortgage rates live.</t>
        </is>
      </c>
    </row>
    <row r="9" ht="24" customHeight="1">
      <c r="B9" s="4" t="inlineStr">
        <is>
          <t>Checks</t>
        </is>
      </c>
      <c r="C9" s="5" t="inlineStr">
        <is>
          <t>Segment Build has two tie-out rows against filed revenue and deliveries; BS has an assets-less-liabilities-and-equity check. All must read zero for 2023–2025.</t>
        </is>
      </c>
    </row>
    <row r="10" ht="24" customHeight="1">
      <c r="B10" s="4" t="inlineStr">
        <is>
          <t>Recalculate</t>
        </is>
      </c>
      <c r="C10" s="5" t="inlineStr">
        <is>
          <t>The workbook is written with live formulas but no cached values. Open in Excel and press Ctrl+Alt+F9 (Cmd+Opt+F9 on Mac) for a full rebuild.</t>
        </is>
      </c>
    </row>
    <row r="11" ht="8" customHeight="1"/>
    <row r="12" ht="15.5" customHeight="1">
      <c r="B12" s="3" t="inlineStr">
        <is>
          <t>SOURCES — every historical figure traces to one of these</t>
        </is>
      </c>
      <c r="C12" s="3" t="n"/>
    </row>
    <row r="13" ht="24" customHeight="1">
      <c r="B13" s="4" t="inlineStr">
        <is>
          <t>FY2025 Form 10-K</t>
        </is>
      </c>
      <c r="C13" s="5" t="inlineStr">
        <is>
          <t>Filed 13-Feb-2026, accession 0000799292-26-000006. Segment revenue, land and housing cost, segment operating income and depreciation come from Note 12, "Business Segments".</t>
        </is>
      </c>
    </row>
    <row r="14" ht="24" customHeight="1">
      <c r="B14" s="4" t="inlineStr">
        <is>
          <t>Q4/FY2025 earnings release</t>
        </is>
      </c>
      <c r="C14" s="5" t="inlineStr">
        <is>
          <t>Exhibit 99.1 to Form 8-K filed 28-Jan-2026. Deliveries, new contracts, backlog and average sales price by region.</t>
        </is>
      </c>
    </row>
    <row r="15" ht="24" customHeight="1">
      <c r="B15" s="4" t="inlineStr">
        <is>
          <t>Q4/FY2024 earnings release</t>
        </is>
      </c>
      <c r="C15" s="5" t="inlineStr">
        <is>
          <t>Exhibit 99.1 to Form 8-K filed 29-Jan-2025 (exhibit9914thqtr2024earnin.htm). 2024 and 2023 regional deliveries and contracts.</t>
        </is>
      </c>
    </row>
    <row r="16" ht="14" customHeight="1">
      <c r="B16" s="4" t="inlineStr">
        <is>
          <t>Q4/FY2023 earnings release</t>
        </is>
      </c>
      <c r="C16" s="5" t="inlineStr">
        <is>
          <t>Exhibit 99.1 to Form 8-K filed 31-Jan-2024 (exhibit9914thqtr2023earnin.htm).</t>
        </is>
      </c>
    </row>
    <row r="17" ht="24" customHeight="1">
      <c r="B17" s="4" t="inlineStr">
        <is>
          <t>Q2 2026 earnings release</t>
        </is>
      </c>
      <c r="C17" s="5" t="inlineStr">
        <is>
          <t>Exhibit 99.1 to Form 8-K filed 29-Jul-2026. Used to calibrate the 2026 estimate: 1H revenue $1,984.0m, EPS $5.57, 22.1% reported gross margin, 4,120 deliveries, $459k ASP.</t>
        </is>
      </c>
    </row>
    <row r="18" ht="24" customHeight="1">
      <c r="B18" s="4" t="inlineStr">
        <is>
          <t>SEC XBRL</t>
        </is>
      </c>
      <c r="C18" s="5" t="inlineStr">
        <is>
          <t>data.sec.gov companyfacts, CIK 0000799292, for consolidated income statement, balance sheet and cash flow. Peer equity and net income from the same API.</t>
        </is>
      </c>
    </row>
    <row r="19" ht="48" customHeight="1">
      <c r="B19" s="4" t="inlineStr">
        <is>
          <t>Rates</t>
        </is>
      </c>
      <c r="C19" s="5" t="inlineStr">
        <is>
          <t>FRED, pulled 11-Sep-2026. 30-yr fixed mortgage (MORTGAGE30US) 6.76% at 2026-09-10, up from a 5.98% trough this year; 2026 year-to-date average 6.38%. 10-yr UST (DGS10) 4.95%, 30-yr 5.37%. Annual mortgage figures are calendar-year averages of the weekly series, recomputed rather than typed — they had been lagged a year.</t>
        </is>
      </c>
    </row>
    <row r="20" ht="48" customHeight="1">
      <c r="B20" s="4" t="inlineStr">
        <is>
          <t>Housing macro</t>
        </is>
      </c>
      <c r="C20" s="5" t="inlineStr">
        <is>
          <t>FRED, pulled 11-Sep-2026. Raleigh house price index (ATNHPIUS39580Q) +1.1% and Charlotte (ATNHPIUS16740Q) +1.5% over the year to Q2 2026, against 3.8% CPI — -2.6% and -2.3% in real terms. The FHFA All-Transactions index is NOT seasonally adjusted, so changes are measured year-over-year; a three-quarter window understates growth by about a point. NC private building permits (NCBPPRIVSA) declining through 2026.</t>
        </is>
      </c>
    </row>
    <row r="21" ht="14" customHeight="1">
      <c r="B21" s="4" t="inlineStr">
        <is>
          <t>Prices</t>
        </is>
      </c>
      <c r="C21" s="5" t="inlineStr">
        <is>
          <t>stockanalysis.com, 04-Sep-2026 11:44 ET, for MHO and the six comparables.</t>
        </is>
      </c>
    </row>
    <row r="22" ht="8" customHeight="1"/>
    <row r="23" ht="15.5" customHeight="1">
      <c r="B23" s="3" t="inlineStr">
        <is>
          <t>PROVENANCE — which numbers are facts and which are ours</t>
        </is>
      </c>
      <c r="C23" s="3" t="n"/>
    </row>
    <row r="24" ht="36" customHeight="1">
      <c r="B24" s="4" t="inlineStr">
        <is>
          <t>No company guidance exists</t>
        </is>
      </c>
      <c r="C24" s="5" t="inlineStr">
        <is>
          <t>M/I Homes issues no quantitative forward guidance. Neither the FY2025 nor the Q2 2026 release contains a delivery, revenue, margin or EPS target — only safe-harbour boilerplate. Every projected figure in this workbook is the analyst's, not the company's.</t>
        </is>
      </c>
    </row>
    <row r="25" ht="24" customHeight="1">
      <c r="B25" s="4" t="inlineStr">
        <is>
          <t>Tier 1 — reported fact</t>
        </is>
      </c>
      <c r="C25" s="5" t="inlineStr">
        <is>
          <t>All of the Historicals sheet, plus the 1H26 figures used to calibrate 2026. Verified: 42 of 42 consolidated line items match SEC XBRL to the dollar; 24 of 24 segment figures match the 10-K segment note.</t>
        </is>
      </c>
    </row>
    <row r="26" ht="36" customHeight="1">
      <c r="B26" s="4" t="inlineStr">
        <is>
          <t>Tier 2 — extrapolated from actuals</t>
        </is>
      </c>
      <c r="C26" s="5" t="inlineStr">
        <is>
          <t>Cost per home, selling and G&amp;A percentages, corporate expense, tax rate, financial services margin, inventory turns. Each starts from a reported 2025 value and moves on a stated growth rate. Defensible without a view on the world.</t>
        </is>
      </c>
    </row>
    <row r="27" ht="36" customHeight="1">
      <c r="B27" s="4" t="inlineStr">
        <is>
          <t>Tier 3 — pure judgement, no external anchor</t>
        </is>
      </c>
      <c r="C27" s="5" t="inlineStr">
        <is>
          <t>The mortgage rate path, the Southern and Northern competition premiums, delivery growth from 2027, gross ASP growth, and the buyback pace. These are forecasts with nothing behind them but reasoning. The competition premium is the most consequential and the least verifiable.</t>
        </is>
      </c>
    </row>
    <row r="28" ht="36" customHeight="1">
      <c r="B28" s="4" t="inlineStr">
        <is>
          <t>How much rests on Tier 3</t>
        </is>
      </c>
      <c r="C28" s="5" t="inlineStr">
        <is>
          <t>Of the $1.17 of 2027E EPS growth over 2026E: $0.90 is volume, price, cost and buyback; $-0.36 is the mortgage-rate decline; $0.64 — 55% — is the Southern competition premium decaying. The rate path and the premium together, 24% of the step-up, are Tier 3.</t>
        </is>
      </c>
    </row>
    <row r="29" ht="72" customHeight="1">
      <c r="B29" s="4" t="inlineStr">
        <is>
          <t>Versus consensus</t>
        </is>
      </c>
      <c r="C29" s="5" t="inlineStr">
        <is>
          <t>Coverage is thin and stale. 7 analysts have rated MHO in the past twelve months (4 positive, 2 hold, 1 sell; most recent action: Zacks Research downgrade on 9 September 2026), consensus target $164.25 against mine of $160. But only ONE price target has been issued in the past three months, and the EPS estimates below are stamped 2026-06-24: 2026E $12.19 (range $11.43-$13.25), 2027E $14.08 (no range published). Mine are $11.98 and $13.15 — below on both years, but 2026 sits INSIDE the published range, not under it. Sources: marketbeat.com for ratings and target, stockanalysis.com for EPS; see data/consensus.json.</t>
        </is>
      </c>
    </row>
    <row r="30" ht="8" customHeight="1"/>
    <row r="31" ht="15.5" customHeight="1">
      <c r="B31" s="3" t="inlineStr">
        <is>
          <t>MODELLING CONVENTIONS AND JUDGEMENT CALLS</t>
        </is>
      </c>
      <c r="C31" s="3" t="n"/>
    </row>
    <row r="32" ht="24" customHeight="1">
      <c r="B32" s="4" t="inlineStr">
        <is>
          <t>Revenue is built by region</t>
        </is>
      </c>
      <c r="C32" s="5" t="inlineStr">
        <is>
          <t>Deliveries x average selling price for Northern and Southern separately, never a blended growth rate. The thesis is entirely about regional mix, so a blended rate would assume away the question.</t>
        </is>
      </c>
    </row>
    <row r="33" ht="24" customHeight="1">
      <c r="B33" s="4" t="inlineStr">
        <is>
          <t>Gross margin is a residual</t>
        </is>
      </c>
      <c r="C33" s="5" t="inlineStr">
        <is>
          <t>It is not an input. Incentive load reduces the realised price; cost per home is driven separately; the margin is what is left. That is what actually happens at a closing table.</t>
        </is>
      </c>
    </row>
    <row r="34" ht="36" customHeight="1">
      <c r="B34" s="4" t="inlineStr">
        <is>
          <t>Incentive load has two terms</t>
        </is>
      </c>
      <c r="C34" s="5" t="inlineStr">
        <is>
          <t>A rate term (base + slope x the excess of the mortgage rate over a 5.5% neutral) and a competition premium. The second term is necessary: mortgage rates were flat between 2024 and 2025 while the Southern margin fell 680bp, so rates cannot be the explanation.</t>
        </is>
      </c>
    </row>
    <row r="35" ht="36" customHeight="1">
      <c r="B35" s="4" t="inlineStr">
        <is>
          <t>Gross margin is shown two ways</t>
        </is>
      </c>
      <c r="C35" s="5" t="inlineStr">
        <is>
          <t>MHO reports gross margin on total revenue, which includes financial services revenue carrying no land or housing cost. That flatters the headline by roughly 200bp. The homebuilding-only margin is shown alongside it throughout.</t>
        </is>
      </c>
    </row>
    <row r="36" ht="24" customHeight="1">
      <c r="B36" s="4" t="inlineStr">
        <is>
          <t>Charges are separated</t>
        </is>
      </c>
      <c r="C36" s="5" t="inlineStr">
        <is>
          <t>The $47.7m of 2025 inventory write-offs ($41.0m of it Southern) is stripped out of cost per home and modelled as its own line, so the underlying unit economics are visible.</t>
        </is>
      </c>
    </row>
    <row r="37" ht="24" customHeight="1">
      <c r="B37" s="4" t="inlineStr">
        <is>
          <t>Financial services debt is excluded from net debt</t>
        </is>
      </c>
      <c r="C37" s="5" t="inlineStr">
        <is>
          <t>Warehouse facilities fund mortgage loans held for sale and are matched by those assets. Including them would overstate leverage.</t>
        </is>
      </c>
    </row>
    <row r="38" ht="14" customHeight="1">
      <c r="B38" s="4" t="inlineStr">
        <is>
          <t>Stock compensation is a real cost</t>
        </is>
      </c>
      <c r="C38" s="5" t="inlineStr">
        <is>
          <t>Deducted in the free cash flow build. Adding it back would raise the DCF by roughly $6 per share.</t>
        </is>
      </c>
    </row>
    <row r="39" ht="24" customHeight="1">
      <c r="B39" s="4" t="inlineStr">
        <is>
          <t>Other liabilities is the revenue-driven line</t>
        </is>
      </c>
      <c r="C39" s="5" t="inlineStr">
        <is>
          <t>Accounts payable, accrued compensation, customer deposits and warranty reserve are modelled at 14.4–14.6% of revenue, in line with 2025. The balance sheet ties without a plug.</t>
        </is>
      </c>
    </row>
    <row r="40" ht="8" customHeight="1"/>
    <row r="41" ht="15.5" customHeight="1">
      <c r="B41" s="3" t="inlineStr">
        <is>
          <t>KNOWN LIMITATIONS — worth saying out loud</t>
        </is>
      </c>
      <c r="C41" s="3" t="n"/>
    </row>
    <row r="42" ht="36" customHeight="1">
      <c r="B42" s="4" t="inlineStr">
        <is>
          <t>Two segments, not seventeen</t>
        </is>
      </c>
      <c r="C42" s="5" t="inlineStr">
        <is>
          <t>MHO reports Northern and Southern only. Raleigh and Charlotte cannot be isolated from Florida and Texas in the filings, so "Southern" is the closest proxy for the North Carolina thesis available from public data. Division-level colour would have to come from management.</t>
        </is>
      </c>
    </row>
    <row r="43" ht="24" customHeight="1">
      <c r="B43" s="4" t="inlineStr">
        <is>
          <t>Financial services is valued inside the consolidated DCF</t>
        </is>
      </c>
      <c r="C43" s="5" t="inlineStr">
        <is>
          <t>It is a mortgage origination business with a different risk profile and arguably deserves separate treatment. At 13% of segment operating income the simplification is tolerable, not correct.</t>
        </is>
      </c>
    </row>
    <row r="44" ht="36" customHeight="1">
      <c r="B44" s="4" t="inlineStr">
        <is>
          <t>Terminal value carries most of the DCF</t>
        </is>
      </c>
      <c r="C44" s="5" t="inlineStr">
        <is>
          <t>Roughly 78%. That is unavoidable for a cyclical with heavy near-term working capital investment. The DCF still carries 60% of the target, because the alternative — the peer multiple — prices a re-rating the company has not earned.</t>
        </is>
      </c>
    </row>
    <row r="45" ht="24" customHeight="1">
      <c r="B45" s="4" t="inlineStr">
        <is>
          <t>Peer book values are not all the same date</t>
        </is>
      </c>
      <c r="C45" s="5" t="inlineStr">
        <is>
          <t>Horton, Lennar and Toll have non-December year ends; each is taken from its most recent 10-Q. The staleness is at most one quarter.</t>
        </is>
      </c>
    </row>
    <row r="46" ht="24" customHeight="1">
      <c r="B46" s="4" t="inlineStr">
        <is>
          <t>The comp set excludes NVR</t>
        </is>
      </c>
      <c r="C46" s="5" t="inlineStr">
        <is>
          <t>Its land-option model produces a structurally different balance sheet and a book multiple that is not comparable.</t>
        </is>
      </c>
    </row>
    <row r="47" ht="8" customHeight="1"/>
  </sheetData>
  <pageMargins left="0.75" right="0.75" top="1" bottom="1" header="0.5" footer="0.5"/>
</worksheet>
</file>

<file path=xl/worksheets/sheet2.xml><?xml version="1.0" encoding="utf-8"?>
<worksheet xmlns="http://schemas.openxmlformats.org/spreadsheetml/2006/main">
  <sheetPr>
    <tabColor rgb="001F3348"/>
    <outlinePr summaryBelow="1" summaryRight="1"/>
    <pageSetUpPr/>
  </sheetPr>
  <dimension ref="B2:L46"/>
  <sheetViews>
    <sheetView showGridLines="0" tabSelected="1"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4" customWidth="1" min="3" max="3"/>
    <col width="14" customWidth="1" min="4" max="4"/>
    <col width="14" customWidth="1" min="5" max="5"/>
    <col width="14" customWidth="1" min="6" max="6"/>
    <col width="14" customWidth="1" min="7" max="7"/>
    <col width="14" customWidth="1" min="8" max="8"/>
    <col width="12.6" customWidth="1" min="9" max="9"/>
    <col width="12.6" customWidth="1" min="10" max="10"/>
    <col width="2.2" customWidth="1" min="11" max="11"/>
    <col width="62" customWidth="1" min="12" max="12"/>
  </cols>
  <sheetData>
    <row r="2" ht="21" customHeight="1">
      <c r="B2" s="1" t="inlineStr">
        <is>
          <t>M/I Homes (NYSE: MHO) — Initiation of Coverage</t>
        </is>
      </c>
    </row>
    <row r="3">
      <c r="B3" s="2" t="inlineStr">
        <is>
          <t>Prepared 04-Sep-2026; market data refreshed 11-Sep-2026.  All figures traceable to SEC filings; see README for sources.</t>
        </is>
      </c>
    </row>
    <row r="5" ht="15.5" customHeight="1">
      <c r="B5" s="3" t="inlineStr">
        <is>
          <t>RECOMMENDATION</t>
        </is>
      </c>
      <c r="C5" s="3" t="n"/>
      <c r="D5" s="3" t="n"/>
      <c r="E5" s="3" t="n"/>
      <c r="F5" s="3" t="n"/>
      <c r="G5" s="3" t="n"/>
      <c r="H5" s="3" t="n"/>
      <c r="I5" s="3" t="n"/>
      <c r="J5" s="3" t="n"/>
    </row>
    <row r="6">
      <c r="B6" s="6" t="inlineStr">
        <is>
          <t>Rating</t>
        </is>
      </c>
      <c r="C6" s="7" t="inlineStr">
        <is>
          <t>NEUTRAL</t>
        </is>
      </c>
    </row>
    <row r="7">
      <c r="B7" s="6" t="inlineStr">
        <is>
          <t>12-month price target ($)</t>
        </is>
      </c>
      <c r="C7" s="8" t="n">
        <v>160</v>
      </c>
      <c r="L7" s="9" t="inlineStr">
        <is>
          <t>Weighted across the four methods below. See the note for how the weights were chosen.</t>
        </is>
      </c>
    </row>
    <row r="8">
      <c r="B8" s="10" t="inlineStr">
        <is>
          <t>Current price ($)</t>
        </is>
      </c>
      <c r="C8" s="11">
        <f>Assumptions!$C$62</f>
        <v/>
      </c>
    </row>
    <row r="9">
      <c r="B9" s="6" t="inlineStr">
        <is>
          <t>Implied total return (%)</t>
        </is>
      </c>
      <c r="C9" s="12">
        <f>C7/C8-1</f>
        <v/>
      </c>
      <c r="L9" s="9" t="inlineStr">
        <is>
          <t>No dividend. The entire return is price plus the buyback.</t>
        </is>
      </c>
    </row>
    <row r="10">
      <c r="B10" s="10" t="inlineStr">
        <is>
          <t>Market capitalisation ($m)</t>
        </is>
      </c>
      <c r="C10" s="13">
        <f>Assumptions!$C$62*Assumptions!$C$63/1000</f>
        <v/>
      </c>
    </row>
    <row r="11" ht="6" customHeight="1"/>
    <row r="12" ht="15.5" customHeight="1">
      <c r="B12" s="3" t="inlineStr">
        <is>
          <t>THE CALL IN ONE PARAGRAPH</t>
        </is>
      </c>
      <c r="C12" s="3" t="n"/>
      <c r="D12" s="3" t="n"/>
      <c r="E12" s="3" t="n"/>
      <c r="F12" s="3" t="n"/>
      <c r="G12" s="3" t="n"/>
      <c r="H12" s="3" t="n"/>
      <c r="I12" s="3" t="n"/>
      <c r="J12" s="3" t="n"/>
    </row>
    <row r="13">
      <c r="B13" s="14" t="inlineStr">
        <is>
          <t>North Carolina led the country in net domestic in-migration in the year to July 2025. M/I Homes' Southern segment — which contains</t>
        </is>
      </c>
    </row>
    <row r="14">
      <c r="B14" s="14" t="inlineStr">
        <is>
          <t>Raleigh and Charlotte — nonetheless saw its operating margin fall from 18.1% to 10.4% in a single year, while the unfashionable Northern</t>
        </is>
      </c>
    </row>
    <row r="15">
      <c r="B15" s="14" t="inlineStr">
        <is>
          <t>segment held at 14.7%. Mortgage rates were flat across that period, so this was not a rate shock: it was competition for a buyer who could</t>
        </is>
      </c>
    </row>
    <row r="16">
      <c r="B16" s="14" t="inlineStr">
        <is>
          <t>not afford the house. Cost per home barely moved. The whole margin decline was price given back at the closing table.</t>
        </is>
      </c>
    </row>
    <row r="17">
      <c r="B17" s="14" t="inlineStr">
        <is>
          <t>MHO is a well-run, net-cash builder buying back 5% of its shares a year, and at 1.10x book it is not expensive. But it now earns</t>
        </is>
      </c>
    </row>
    <row r="18">
      <c r="B18" s="14" t="inlineStr">
        <is>
          <t>roughly its cost of equity. Return on equity has fallen to 9.3% on trailing numbers, and at a 12.0% cost of equity today's</t>
        </is>
      </c>
    </row>
    <row r="19">
      <c r="B19" s="14" t="inlineStr">
        <is>
          <t>multiple already pays for a normalised return near 13%. My base case reaches only 9.8% by 2028, and only by assuming a</t>
        </is>
      </c>
    </row>
    <row r="20">
      <c r="B20" s="14" t="inlineStr">
        <is>
          <t>competitive recovery I cannot verify. I initiate at Neutral: the margin recovery is priced but not yet earned.</t>
        </is>
      </c>
    </row>
    <row r="21" ht="6" customHeight="1"/>
    <row r="22" ht="15.5" customHeight="1">
      <c r="B22" s="3" t="inlineStr">
        <is>
          <t>VALUATION SUMMARY — where the methods agree and where they do not</t>
        </is>
      </c>
      <c r="C22" s="3" t="n"/>
      <c r="D22" s="3" t="n"/>
      <c r="E22" s="3" t="n"/>
      <c r="F22" s="3" t="n"/>
      <c r="G22" s="3" t="n"/>
      <c r="H22" s="3" t="n"/>
      <c r="I22" s="3" t="n"/>
      <c r="J22" s="3" t="n"/>
    </row>
    <row r="23">
      <c r="B23" s="15" t="inlineStr">
        <is>
          <t>Method</t>
        </is>
      </c>
      <c r="C23" s="15" t="inlineStr">
        <is>
          <t>Value $</t>
        </is>
      </c>
      <c r="E23" s="15" t="inlineStr">
        <is>
          <t>vs price</t>
        </is>
      </c>
      <c r="G23" s="15" t="inlineStr">
        <is>
          <t>Weight</t>
        </is>
      </c>
      <c r="H23" s="15" t="inlineStr">
        <is>
          <t>Contribution</t>
        </is>
      </c>
    </row>
    <row r="24">
      <c r="B24" s="14" t="inlineStr">
        <is>
          <t>Discounted cash flow (rolled forward 12 months)</t>
        </is>
      </c>
      <c r="C24" s="11">
        <f>DCF!$C$47*(1+DCF!$C$9/100)</f>
        <v/>
      </c>
      <c r="E24" s="16">
        <f>C24/C8-1</f>
        <v/>
      </c>
      <c r="G24" s="17" t="n">
        <v>0.6</v>
      </c>
      <c r="H24" s="11">
        <f>C24*G24</f>
        <v/>
      </c>
      <c r="L24" s="9" t="inlineStr">
        <is>
          <t>What the business earns, and what is left for shareholders after land absorbs its share. Weighted more heavily because it is the only method that prices the return gap.</t>
        </is>
      </c>
    </row>
    <row r="25">
      <c r="B25" s="14" t="inlineStr">
        <is>
          <t>Peer median P/B on Sep-2027E book</t>
        </is>
      </c>
      <c r="C25" s="11">
        <f>Comps!H34</f>
        <v/>
      </c>
      <c r="E25" s="16">
        <f>C25/C8-1</f>
        <v/>
      </c>
      <c r="G25" s="17" t="n">
        <v>0.4</v>
      </c>
      <c r="H25" s="11">
        <f>C25*G25</f>
        <v/>
      </c>
      <c r="L25" s="9" t="inlineStr">
        <is>
          <t>What the market pays other builders for a dollar of book. The multiple comes from the comp set, not from MHO, which is what makes this independent of the DCF and able to disagree with the current price.</t>
        </is>
      </c>
    </row>
    <row r="26">
      <c r="B26" s="18" t="inlineStr">
        <is>
          <t>Weighted value per share</t>
        </is>
      </c>
      <c r="C26" s="19" t="n"/>
      <c r="E26" s="19" t="n"/>
      <c r="G26" s="20">
        <f>SUM(G24:G25)</f>
        <v/>
      </c>
      <c r="H26" s="21">
        <f>SUM(H24:H25)</f>
        <v/>
      </c>
    </row>
    <row r="27">
      <c r="B27" s="22" t="inlineStr">
        <is>
          <t>Cross-check: probability-weighted value (25/50/25 across the scenarios below)</t>
        </is>
      </c>
      <c r="H27" s="23">
        <f>0.25*F31+0.5*F32+0.25*F33</f>
        <v/>
      </c>
      <c r="L27" s="9" t="inlineStr">
        <is>
          <t>Not a second price target — a test of the rating. A probability-weighted value below the share price is what makes this a Sell rather than a Hold.</t>
        </is>
      </c>
    </row>
    <row r="29" ht="15.5" customHeight="1">
      <c r="B29" s="3" t="inlineStr">
        <is>
          <t>SCENARIOS</t>
        </is>
      </c>
      <c r="C29" s="3" t="n"/>
      <c r="D29" s="3" t="n"/>
      <c r="E29" s="3" t="n"/>
      <c r="F29" s="3" t="n"/>
      <c r="G29" s="3" t="n"/>
      <c r="H29" s="3" t="n"/>
      <c r="I29" s="3" t="n"/>
      <c r="J29" s="3" t="n"/>
    </row>
    <row r="30">
      <c r="B30" s="15" t="inlineStr">
        <is>
          <t>Scenario</t>
        </is>
      </c>
      <c r="C30" s="15" t="inlineStr">
        <is>
          <t>2027E EPS</t>
        </is>
      </c>
      <c r="D30" s="15" t="inlineStr">
        <is>
          <t>2030E EPS</t>
        </is>
      </c>
      <c r="E30" s="15" t="inlineStr">
        <is>
          <t>2028E ROE</t>
        </is>
      </c>
      <c r="F30" s="15" t="inlineStr">
        <is>
          <t>Value $</t>
        </is>
      </c>
      <c r="G30" s="15" t="inlineStr">
        <is>
          <t>vs price</t>
        </is>
      </c>
      <c r="L30" s="15" t="inlineStr">
        <is>
          <t>What has to be true</t>
        </is>
      </c>
    </row>
    <row r="31" ht="30" customHeight="1">
      <c r="B31" s="24" t="inlineStr">
        <is>
          <t>Bull</t>
        </is>
      </c>
      <c r="C31" s="11" t="n">
        <v>15.82686218394968</v>
      </c>
      <c r="D31" s="11" t="n">
        <v>25.98113220025009</v>
      </c>
      <c r="E31" s="16" t="n">
        <v>0.1210539027941942</v>
      </c>
      <c r="F31" s="25" t="n">
        <v>199</v>
      </c>
      <c r="G31" s="26">
        <f>F31/$C$8-1</f>
        <v/>
      </c>
      <c r="L31" s="9" t="inlineStr">
        <is>
          <t>Mortgage rates to 5.4% by 2028 and Sunbelt spec supply clears: the Southern competition premium falls to 1.9pp of price by 2028. Priced on the multiple the market pays the peer earning that return.</t>
        </is>
      </c>
    </row>
    <row r="32" ht="30" customHeight="1">
      <c r="B32" s="27" t="inlineStr">
        <is>
          <t>Base</t>
        </is>
      </c>
      <c r="C32" s="28" t="n">
        <v>13.14864821008826</v>
      </c>
      <c r="D32" s="28" t="n">
        <v>19.23698646428809</v>
      </c>
      <c r="E32" s="29" t="n">
        <v>0.09828226077143039</v>
      </c>
      <c r="F32" s="30" t="n">
        <v>160</v>
      </c>
      <c r="G32" s="31">
        <f>F32/$C$8-1</f>
        <v/>
      </c>
      <c r="L32" s="9" t="inlineStr">
        <is>
          <t>Rates grind to ~6.1%; the Southern competition premium decays but never disappears. Southern operating margin recovers part-way, not to the 18% of 2024. Priced on the peer median multiple.</t>
        </is>
      </c>
    </row>
    <row r="33" ht="30" customHeight="1">
      <c r="B33" s="24" t="inlineStr">
        <is>
          <t>Bear</t>
        </is>
      </c>
      <c r="C33" s="11" t="n">
        <v>9.176772774107896</v>
      </c>
      <c r="D33" s="11" t="n">
        <v>9.262716988048123</v>
      </c>
      <c r="E33" s="16" t="n">
        <v>0.06218324744170975</v>
      </c>
      <c r="F33" s="25" t="n">
        <v>100</v>
      </c>
      <c r="G33" s="26">
        <f>F33/$C$8-1</f>
        <v/>
      </c>
      <c r="L33" s="9" t="inlineStr">
        <is>
          <t>Rates hold near 7%; Sunbelt oversupply persists and the Southern premium ratchets to 5.6pp. Deliveries fall, cost inflation resumes. Priced on the multiple the market pays the peer earning that return.</t>
        </is>
      </c>
    </row>
    <row r="34" ht="6" customHeight="1"/>
    <row r="35" ht="15.5" customHeight="1">
      <c r="B35" s="3" t="inlineStr">
        <is>
          <t>KEY FINANCIALS</t>
        </is>
      </c>
      <c r="C35" s="3" t="n"/>
      <c r="D35" s="3" t="n"/>
      <c r="E35" s="3" t="n"/>
      <c r="F35" s="3" t="n"/>
      <c r="G35" s="3" t="n"/>
      <c r="H35" s="3" t="n"/>
      <c r="I35" s="3" t="n"/>
      <c r="J35" s="3" t="n"/>
    </row>
    <row r="36">
      <c r="B36" s="32" t="inlineStr">
        <is>
          <t>($ in millions except per-share)</t>
        </is>
      </c>
      <c r="C36" s="33" t="inlineStr">
        <is>
          <t>2024A</t>
        </is>
      </c>
      <c r="D36" s="33" t="inlineStr">
        <is>
          <t>2025A</t>
        </is>
      </c>
      <c r="E36" s="33" t="inlineStr">
        <is>
          <t>2026E</t>
        </is>
      </c>
      <c r="F36" s="33" t="inlineStr">
        <is>
          <t>2027E</t>
        </is>
      </c>
      <c r="G36" s="33" t="inlineStr">
        <is>
          <t>2028E</t>
        </is>
      </c>
    </row>
    <row r="37">
      <c r="B37" s="10" t="inlineStr">
        <is>
          <t>Revenue</t>
        </is>
      </c>
      <c r="C37" s="13">
        <f>IS!D11/1000</f>
        <v/>
      </c>
      <c r="D37" s="13">
        <f>IS!E11/1000</f>
        <v/>
      </c>
      <c r="E37" s="13">
        <f>IS!F11/1000</f>
        <v/>
      </c>
      <c r="F37" s="13">
        <f>IS!G11/1000</f>
        <v/>
      </c>
      <c r="G37" s="13">
        <f>IS!H11/1000</f>
        <v/>
      </c>
    </row>
    <row r="38">
      <c r="B38" s="10" t="inlineStr">
        <is>
          <t>Homes delivered</t>
        </is>
      </c>
      <c r="C38" s="13">
        <f>'Segment Build'!D8+'Segment Build'!D18</f>
        <v/>
      </c>
      <c r="D38" s="13">
        <f>'Segment Build'!E8+'Segment Build'!E18</f>
        <v/>
      </c>
      <c r="E38" s="13">
        <f>'Segment Build'!F8+'Segment Build'!F18</f>
        <v/>
      </c>
      <c r="F38" s="13">
        <f>'Segment Build'!G8+'Segment Build'!G18</f>
        <v/>
      </c>
      <c r="G38" s="13">
        <f>'Segment Build'!H8+'Segment Build'!H18</f>
        <v/>
      </c>
    </row>
    <row r="39">
      <c r="B39" s="6" t="inlineStr">
        <is>
          <t>Gross margin — homebuilding (%)</t>
        </is>
      </c>
      <c r="C39" s="34">
        <f>1-IS!D14/(IS!D8+IS!D9)</f>
        <v/>
      </c>
      <c r="D39" s="34">
        <f>1-IS!E14/(IS!E8+IS!E9)</f>
        <v/>
      </c>
      <c r="E39" s="34">
        <f>1-IS!F14/(IS!F8+IS!F9)</f>
        <v/>
      </c>
      <c r="F39" s="34">
        <f>1-IS!G14/(IS!G8+IS!G9)</f>
        <v/>
      </c>
      <c r="G39" s="34">
        <f>1-IS!H14/(IS!H8+IS!H9)</f>
        <v/>
      </c>
    </row>
    <row r="40">
      <c r="B40" s="10" t="inlineStr">
        <is>
          <t>Operating margin (%)</t>
        </is>
      </c>
      <c r="C40" s="16">
        <f>IS!D26/IS!D11</f>
        <v/>
      </c>
      <c r="D40" s="16">
        <f>IS!E26/IS!E11</f>
        <v/>
      </c>
      <c r="E40" s="16">
        <f>IS!F26/IS!F11</f>
        <v/>
      </c>
      <c r="F40" s="16">
        <f>IS!G26/IS!G11</f>
        <v/>
      </c>
      <c r="G40" s="16">
        <f>IS!H26/IS!H11</f>
        <v/>
      </c>
    </row>
    <row r="41">
      <c r="B41" s="6" t="inlineStr">
        <is>
          <t>Southern operating margin (%)</t>
        </is>
      </c>
      <c r="C41" s="34">
        <f>IS!D42/IS!D9</f>
        <v/>
      </c>
      <c r="D41" s="34">
        <f>IS!E42/IS!E9</f>
        <v/>
      </c>
      <c r="E41" s="34">
        <f>IS!F42/IS!F9</f>
        <v/>
      </c>
      <c r="F41" s="34">
        <f>IS!G42/IS!G9</f>
        <v/>
      </c>
      <c r="G41" s="34">
        <f>IS!H42/IS!H9</f>
        <v/>
      </c>
    </row>
    <row r="42">
      <c r="B42" s="6" t="inlineStr">
        <is>
          <t>Northern operating margin (%)</t>
        </is>
      </c>
      <c r="C42" s="34">
        <f>IS!D41/IS!D8</f>
        <v/>
      </c>
      <c r="D42" s="34">
        <f>IS!E41/IS!E8</f>
        <v/>
      </c>
      <c r="E42" s="34">
        <f>IS!F41/IS!F8</f>
        <v/>
      </c>
      <c r="F42" s="34">
        <f>IS!G41/IS!G8</f>
        <v/>
      </c>
      <c r="G42" s="34">
        <f>IS!H41/IS!H8</f>
        <v/>
      </c>
    </row>
    <row r="43">
      <c r="B43" s="6" t="inlineStr">
        <is>
          <t>Diluted EPS ($)</t>
        </is>
      </c>
      <c r="C43" s="35">
        <f>IS!D37</f>
        <v/>
      </c>
      <c r="D43" s="35">
        <f>IS!E37</f>
        <v/>
      </c>
      <c r="E43" s="35">
        <f>IS!F37</f>
        <v/>
      </c>
      <c r="F43" s="35">
        <f>IS!G37</f>
        <v/>
      </c>
      <c r="G43" s="35">
        <f>IS!H37</f>
        <v/>
      </c>
    </row>
    <row r="44">
      <c r="B44" s="10" t="inlineStr">
        <is>
          <t>Book value per share ($)</t>
        </is>
      </c>
      <c r="C44" s="11">
        <f>BS!D25</f>
        <v/>
      </c>
      <c r="D44" s="11">
        <f>BS!E25</f>
        <v/>
      </c>
      <c r="E44" s="11">
        <f>BS!F25</f>
        <v/>
      </c>
      <c r="F44" s="11">
        <f>BS!G25</f>
        <v/>
      </c>
      <c r="G44" s="11">
        <f>BS!H25</f>
        <v/>
      </c>
    </row>
    <row r="45">
      <c r="B45" s="6" t="inlineStr">
        <is>
          <t>Return on equity (%)</t>
        </is>
      </c>
      <c r="C45" s="34">
        <f>BS!D29</f>
        <v/>
      </c>
      <c r="D45" s="34">
        <f>BS!E29</f>
        <v/>
      </c>
      <c r="E45" s="34">
        <f>BS!F29</f>
        <v/>
      </c>
      <c r="F45" s="34">
        <f>BS!G29</f>
        <v/>
      </c>
      <c r="G45" s="34">
        <f>BS!H29</f>
        <v/>
      </c>
    </row>
    <row r="46">
      <c r="B46" s="10" t="inlineStr">
        <is>
          <t>Net debt / (net cash)</t>
        </is>
      </c>
      <c r="C46" s="13">
        <f>BS!D27/1000</f>
        <v/>
      </c>
      <c r="D46" s="13">
        <f>BS!E27/1000</f>
        <v/>
      </c>
      <c r="E46" s="13">
        <f>BS!F27/1000</f>
        <v/>
      </c>
      <c r="F46" s="13">
        <f>BS!G27/1000</f>
        <v/>
      </c>
      <c r="G46" s="13">
        <f>BS!H27/1000</f>
        <v/>
      </c>
    </row>
  </sheetData>
  <pageMargins left="0.75" right="0.75" top="1" bottom="1" header="0.5" footer="0.5"/>
</worksheet>
</file>

<file path=xl/worksheets/sheet3.xml><?xml version="1.0" encoding="utf-8"?>
<worksheet xmlns="http://schemas.openxmlformats.org/spreadsheetml/2006/main">
  <sheetPr>
    <tabColor rgb="001F3348"/>
    <outlinePr summaryBelow="1" summaryRight="1"/>
    <pageSetUpPr/>
  </sheetPr>
  <dimension ref="B2:L63"/>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Assumptions &amp; Drivers</t>
        </is>
      </c>
    </row>
    <row r="3">
      <c r="B3" s="2" t="inlineStr">
        <is>
          <t>Blue = hard-coded input. Every projected line in this model traces back to this sheet. Flex the incentive block first — it is where the thesis lives.</t>
        </is>
      </c>
    </row>
    <row r="5" ht="18" customHeight="1">
      <c r="B5" s="36" t="inlineStr">
        <is>
          <t>DRIVER</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MACRO</t>
        </is>
      </c>
      <c r="C7" s="3" t="n"/>
      <c r="D7" s="3" t="n"/>
      <c r="E7" s="3" t="n"/>
      <c r="F7" s="3" t="n"/>
      <c r="G7" s="3" t="n"/>
      <c r="H7" s="3" t="n"/>
      <c r="I7" s="3" t="n"/>
      <c r="J7" s="3" t="n"/>
    </row>
    <row r="8">
      <c r="B8" s="38" t="inlineStr">
        <is>
          <t>30-yr fixed mortgage rate (annual avg, %)</t>
        </is>
      </c>
      <c r="C8" s="39" t="n">
        <v>6.807</v>
      </c>
      <c r="D8" s="39" t="n">
        <v>6.721</v>
      </c>
      <c r="E8" s="39" t="n">
        <v>6.595</v>
      </c>
      <c r="F8" s="39" t="n">
        <v>6.49</v>
      </c>
      <c r="G8" s="39" t="n">
        <v>6.76</v>
      </c>
      <c r="H8" s="39" t="n">
        <v>6.76</v>
      </c>
      <c r="I8" s="39" t="n">
        <v>6.76</v>
      </c>
      <c r="J8" s="39" t="n">
        <v>6.76</v>
      </c>
      <c r="L8" s="9" t="inlineStr">
        <is>
          <t>2023-25 actual: calendar-year average of FRED MORTGAGE30US, pulled 11-Sep-2026. These were previously entered lagged one year. 2026E is 36 weeks observed plus the spot held to year end. 2027E+ HOLDS THE SPOT of 6.76% (2026-09-10): I do not forecast rates, so the target carries no rate view. The previous path declined to 5.90%, which implied the 10-yr Treasury falling to about 4.09% and was worth roughly $7/share.</t>
        </is>
      </c>
    </row>
    <row r="9">
      <c r="B9" s="14" t="inlineStr">
        <is>
          <t>Neutral mortgage rate (%)</t>
        </is>
      </c>
      <c r="C9" s="39" t="n">
        <v>5.5</v>
      </c>
      <c r="L9" s="2" t="inlineStr">
        <is>
          <t>Rate at which a builder needs no abnormal incentive. Single input — applies to all years.</t>
        </is>
      </c>
    </row>
    <row r="10">
      <c r="B10" s="14" t="inlineStr">
        <is>
          <t>Inflation (%)</t>
        </is>
      </c>
      <c r="C10" s="39" t="n">
        <v>2.5</v>
      </c>
      <c r="L10" s="9" t="inlineStr">
        <is>
          <t>THE SINGLE INFLATION INPUT. Every nominal dollar driver below is grown from its 2025 actual at this rate, and it is also the terminal growth rate, so one number governs both — flex it here and it propagates. Ratio drivers are NOT inflated: a ratio is inflation-neutral by construction, so they are held at their most recent observed level instead. Measured CPI over the year to Q2-2026 was 3.8%; using that instead of 2.50% moves the DCF by about $0.34 and would contradict the terminal growth rate, so it is not worth the inconsistency.</t>
        </is>
      </c>
    </row>
    <row r="11">
      <c r="B11" s="14" t="inlineStr">
        <is>
          <t>Real growth in perpetuity (%)</t>
        </is>
      </c>
      <c r="C11" s="39" t="n">
        <v>0</v>
      </c>
      <c r="L11" s="9" t="inlineStr">
        <is>
          <t>Real growth ON TOP of inflation, in perpetuity. Terminal growth is not a separate input: it is derived as inflation + real growth = 2.50% + 0.00% = 2.50%, so the two cannot drift apart. Zero real growth is a deliberate, conservative choice — it says the company grows with prices but not faster, shrinking slowly against a growing economy. Each 50bp here is worth roughly $3.50 a share; see the WACC x terminal growth grid on the DCF sheet.</t>
        </is>
      </c>
    </row>
    <row r="12" ht="6" customHeight="1"/>
    <row r="13" ht="15.5" customHeight="1">
      <c r="B13" s="3" t="inlineStr">
        <is>
          <t>INCENTIVE INTENSITY  —  incentive load (% of gross ASP) = base + rate slope x (mortgage rate − neutral) + competition premium</t>
        </is>
      </c>
      <c r="C13" s="3" t="n"/>
      <c r="D13" s="3" t="n"/>
      <c r="E13" s="3" t="n"/>
      <c r="F13" s="3" t="n"/>
      <c r="G13" s="3" t="n"/>
      <c r="H13" s="3" t="n"/>
      <c r="I13" s="3" t="n"/>
      <c r="J13" s="3" t="n"/>
    </row>
    <row r="14">
      <c r="B14" s="14" t="inlineStr">
        <is>
          <t>Northern — base incentive (% of gross ASP)</t>
        </is>
      </c>
      <c r="C14" s="39" t="n">
        <v>1.015</v>
      </c>
    </row>
    <row r="15">
      <c r="B15" s="14" t="inlineStr">
        <is>
          <t>Northern — rate slope (pp per 100bp above neutral)</t>
        </is>
      </c>
      <c r="C15" s="40" t="n">
        <v>0.9</v>
      </c>
    </row>
    <row r="16">
      <c r="B16" s="38" t="inlineStr">
        <is>
          <t>Northern — competition premium (pp)</t>
        </is>
      </c>
      <c r="C16" s="39" t="n">
        <v>0</v>
      </c>
      <c r="D16" s="39" t="n">
        <v>0</v>
      </c>
      <c r="E16" s="39" t="n">
        <v>1.256</v>
      </c>
      <c r="F16" s="39" t="n">
        <v>3.51</v>
      </c>
      <c r="G16" s="39" t="n">
        <v>3.15</v>
      </c>
      <c r="H16" s="39" t="n">
        <v>2.9</v>
      </c>
      <c r="I16" s="39" t="n">
        <v>2.75</v>
      </c>
      <c r="J16" s="39" t="n">
        <v>2.65</v>
      </c>
      <c r="L16" s="9" t="inlineStr">
        <is>
          <t>Incentive over and above what the rate alone justifies. Zero in 2023-24 by construction. The 1.26pp for 2025 is NOT assumed: the 10-K discloses Northern per-home incentives rose $6.5k while mortgage rates FELL (6.80%-&gt;6.72%), so the rate term cannot account for it and the residual is forced positive. 2026E+ (3.51pp falling to 2.65pp) is forecast, not calibrated, and is the least defended input in the model - the note argues a competition story for the South, not the North. Holding it at the 2025 level instead raises 2027E EPS by about $1.07.</t>
        </is>
      </c>
    </row>
    <row r="17">
      <c r="B17" s="14" t="inlineStr">
        <is>
          <t>Southern — base incentive (% of gross ASP)</t>
        </is>
      </c>
      <c r="C17" s="39" t="n">
        <v>2.05</v>
      </c>
    </row>
    <row r="18">
      <c r="B18" s="14" t="inlineStr">
        <is>
          <t>Southern — rate slope (pp per 100bp above neutral)</t>
        </is>
      </c>
      <c r="C18" s="40" t="n">
        <v>1.2</v>
      </c>
    </row>
    <row r="19">
      <c r="B19" s="38" t="inlineStr">
        <is>
          <t>Southern — competition premium (pp)</t>
        </is>
      </c>
      <c r="C19" s="39" t="n">
        <v>0</v>
      </c>
      <c r="D19" s="39" t="n">
        <v>0</v>
      </c>
      <c r="E19" s="39" t="n">
        <v>2.04</v>
      </c>
      <c r="F19" s="39" t="n">
        <v>4.371</v>
      </c>
      <c r="G19" s="39" t="n">
        <v>3.75</v>
      </c>
      <c r="H19" s="39" t="n">
        <v>3.3</v>
      </c>
      <c r="I19" s="39" t="n">
        <v>3</v>
      </c>
      <c r="J19" s="39" t="n">
        <v>2.8</v>
      </c>
      <c r="L19" s="9" t="inlineStr">
        <is>
          <t>THE KEY INPUT, and the three years are known with very different confidence. 2023-24: zero by construction, the base period. 2025 (2.04pp): CALIBRATED, not chosen - solved together with the base rate from four figures the 10-K discloses (total incentives of $131.3m in 2024 and $200.0m in 2025, and per-home increases of $6.5k Northern and $8.8k Southern). Mortgage rates FELL 12.6bp over that year, so a rate-only model predicts incentives easing when they in fact nearly doubled. 2026 (4.37pp): NOT calibrated - MHO discloses incentives annually, not quarterly, so there is nothing to solve against. It is set by hand so the full year lands near reported 1H26 margin and ASP. 2027-30: JUDGEMENT. A decay of about 11%/yr that never reaches zero, still carrying 2.80pp in 2030. Nothing observable supports the shape; it is the single least defended input in the model and the reason the sensitivity grid matters more than the point estimate. Flex this before anything else.</t>
        </is>
      </c>
    </row>
    <row r="20" ht="6" customHeight="1"/>
    <row r="21" ht="15.5" customHeight="1">
      <c r="B21" s="3" t="inlineStr">
        <is>
          <t>VOLUME, PRICE AND COST  (growth rates, % — projections only)</t>
        </is>
      </c>
      <c r="C21" s="3" t="n"/>
      <c r="D21" s="3" t="n"/>
      <c r="E21" s="3" t="n"/>
      <c r="F21" s="3" t="n"/>
      <c r="G21" s="3" t="n"/>
      <c r="H21" s="3" t="n"/>
      <c r="I21" s="3" t="n"/>
      <c r="J21" s="3" t="n"/>
    </row>
    <row r="22">
      <c r="B22" s="38" t="inlineStr">
        <is>
          <t>Deliveries growth — Northern (%)</t>
        </is>
      </c>
      <c r="F22" s="39" t="n">
        <v>-3.9</v>
      </c>
      <c r="G22" s="39" t="n">
        <v>3.5</v>
      </c>
      <c r="H22" s="39" t="n">
        <v>4</v>
      </c>
      <c r="I22" s="39" t="n">
        <v>3.25</v>
      </c>
      <c r="J22" s="39" t="n">
        <v>3</v>
      </c>
      <c r="L22" s="9" t="inlineStr">
        <is>
          <t>2026E is set by hand so the full year lands near reported 1H 2026 (4,120 deliveries, $459k ASP, $5.57 EPS, 22.1% reported gross margin) — it is NOT solved from those figures, it is eyeballed against them. 2027E+ is judgement with no external anchor: see README, Tier 3. Full-year 2026E implies a 2H 7.6% above 1H, against an actual 6.3% step in 2025.</t>
        </is>
      </c>
    </row>
    <row r="23">
      <c r="B23" s="38" t="inlineStr">
        <is>
          <t>Deliveries growth — Southern (%)</t>
        </is>
      </c>
      <c r="F23" s="39" t="n">
        <v>-4.3</v>
      </c>
      <c r="G23" s="39" t="n">
        <v>5</v>
      </c>
      <c r="H23" s="39" t="n">
        <v>5.5</v>
      </c>
      <c r="I23" s="39" t="n">
        <v>4.25</v>
      </c>
      <c r="J23" s="39" t="n">
        <v>4</v>
      </c>
      <c r="L23" s="9" t="inlineStr">
        <is>
          <t xml:space="preserve">2026E is set by hand so the full year lands near reported 1H 2026 (4,120 deliveries, $459k ASP, $5.57 EPS, 22.1% reported gross margin) — it is NOT solved from those figures, it is eyeballed against them. 2027E+ is judgement with no external anchor: see README, Tier 3. </t>
        </is>
      </c>
    </row>
    <row r="24">
      <c r="B24" s="38" t="inlineStr">
        <is>
          <t>Gross ASP growth — Northern (%)</t>
        </is>
      </c>
      <c r="F24" s="39" t="n">
        <v>1</v>
      </c>
      <c r="G24" s="39" t="n">
        <v>2</v>
      </c>
      <c r="H24" s="39" t="n">
        <v>2.25</v>
      </c>
      <c r="I24" s="39" t="n">
        <v>2.5</v>
      </c>
      <c r="J24" s="39" t="n">
        <v>2.5</v>
      </c>
      <c r="L24" s="9" t="inlineStr">
        <is>
          <t xml:space="preserve">Gross ASP = list price before incentives. 2026E is set by hand so the full year lands near reported 1H 2026 (4,120 deliveries, $459k ASP, $5.57 EPS, 22.1% reported gross margin) — it is NOT solved from those figures, it is eyeballed against them. 2027E+ is judgement with no external anchor: see README, Tier 3. </t>
        </is>
      </c>
    </row>
    <row r="25">
      <c r="B25" s="38" t="inlineStr">
        <is>
          <t>Gross ASP growth — Southern (%)</t>
        </is>
      </c>
      <c r="F25" s="39" t="n">
        <v>-1.5</v>
      </c>
      <c r="G25" s="39" t="n">
        <v>1</v>
      </c>
      <c r="H25" s="39" t="n">
        <v>2</v>
      </c>
      <c r="I25" s="39" t="n">
        <v>2.25</v>
      </c>
      <c r="J25" s="39" t="n">
        <v>2.25</v>
      </c>
      <c r="L25" s="9" t="inlineStr">
        <is>
          <t xml:space="preserve">2026E is set by hand so the full year lands near reported 1H 2026 (4,120 deliveries, $459k ASP, $5.57 EPS, 22.1% reported gross margin) — it is NOT solved from those figures, it is eyeballed against them. 2027E+ is judgement with no external anchor: see README, Tier 3. </t>
        </is>
      </c>
    </row>
    <row r="26">
      <c r="B26" s="38" t="inlineStr">
        <is>
          <t>Cost per home growth — Northern (%)</t>
        </is>
      </c>
      <c r="F26" s="39" t="n">
        <v>0</v>
      </c>
      <c r="G26" s="39" t="n">
        <v>2.2</v>
      </c>
      <c r="H26" s="39" t="n">
        <v>2.4</v>
      </c>
      <c r="I26" s="39" t="n">
        <v>2.5</v>
      </c>
      <c r="J26" s="39" t="n">
        <v>2.5</v>
      </c>
      <c r="L26" s="9" t="inlineStr">
        <is>
          <t xml:space="preserve">2026E is set by hand so the full year lands near reported 1H 2026 (4,120 deliveries, $459k ASP, $5.57 EPS, 22.1% reported gross margin) — it is NOT solved from those figures, it is eyeballed against them. 2027E+ is judgement with no external anchor: see README, Tier 3. </t>
        </is>
      </c>
    </row>
    <row r="27">
      <c r="B27" s="38" t="inlineStr">
        <is>
          <t>Cost per home growth — Southern (%)</t>
        </is>
      </c>
      <c r="F27" s="39" t="n">
        <v>-0.3</v>
      </c>
      <c r="G27" s="39" t="n">
        <v>2</v>
      </c>
      <c r="H27" s="39" t="n">
        <v>2.3</v>
      </c>
      <c r="I27" s="39" t="n">
        <v>2.5</v>
      </c>
      <c r="J27" s="39" t="n">
        <v>2.5</v>
      </c>
      <c r="L27" s="9" t="inlineStr">
        <is>
          <t xml:space="preserve">Land + stick-and-brick + closing cost per unit delivered. 2026E is set by hand so the full year lands near reported 1H 2026 (4,120 deliveries, $459k ASP, $5.57 EPS, 22.1% reported gross margin) — it is NOT solved from those figures, it is eyeballed against them. 2027E+ is judgement with no external anchor: see README, Tier 3. </t>
        </is>
      </c>
    </row>
    <row r="28" ht="6" customHeight="1"/>
    <row r="29" ht="15.5" customHeight="1">
      <c r="B29" s="3" t="inlineStr">
        <is>
          <t>OTHER INCOME STATEMENT DRIVERS</t>
        </is>
      </c>
      <c r="C29" s="3" t="n"/>
      <c r="D29" s="3" t="n"/>
      <c r="E29" s="3" t="n"/>
      <c r="F29" s="3" t="n"/>
      <c r="G29" s="3" t="n"/>
      <c r="H29" s="3" t="n"/>
      <c r="I29" s="3" t="n"/>
      <c r="J29" s="3" t="n"/>
    </row>
    <row r="30">
      <c r="B30" s="38" t="inlineStr">
        <is>
          <t>Land sale revenue ($000)</t>
        </is>
      </c>
      <c r="F30" s="41" t="n">
        <v>18085.1</v>
      </c>
      <c r="G30" s="41" t="n">
        <v>18537.2</v>
      </c>
      <c r="H30" s="41" t="n">
        <v>19000.7</v>
      </c>
      <c r="I30" s="41" t="n">
        <v>19475.7</v>
      </c>
      <c r="J30" s="41" t="n">
        <v>19962.6</v>
      </c>
      <c r="L30" s="9" t="inlineStr">
        <is>
          <t>Grown from its 2025 actual at the single inflation input above (the nominal rule) — not a hand-set path. 2025 actual $17.6m. Land sales are incidental to the thesis; this line is small and is not forecast independently.</t>
        </is>
      </c>
    </row>
    <row r="31">
      <c r="B31" s="38" t="inlineStr">
        <is>
          <t>Financial services revenue growth (%)</t>
        </is>
      </c>
      <c r="F31" s="39" t="n">
        <v>-4.1</v>
      </c>
      <c r="G31" s="39" t="n">
        <v>4.25</v>
      </c>
      <c r="H31" s="39" t="n">
        <v>4.75</v>
      </c>
      <c r="I31" s="39" t="n">
        <v>3.75</v>
      </c>
      <c r="J31" s="39" t="n">
        <v>3.5</v>
      </c>
      <c r="L31" s="9" t="inlineStr">
        <is>
          <t>DERIVED, not assumed: financial services originates mortgages for buyers of these homes, so its revenue tracks deliveries. This row is the average of the two delivery growth rates above and moves with them automatically.</t>
        </is>
      </c>
    </row>
    <row r="32">
      <c r="B32" s="38" t="inlineStr">
        <is>
          <t>Selling expense (% of homebuilding revenue)</t>
        </is>
      </c>
      <c r="F32" s="39" t="n">
        <v>6.22</v>
      </c>
      <c r="G32" s="39" t="n">
        <v>6.22</v>
      </c>
      <c r="H32" s="39" t="n">
        <v>6.22</v>
      </c>
      <c r="I32" s="39" t="n">
        <v>6.22</v>
      </c>
      <c r="J32" s="39" t="n">
        <v>6.22</v>
      </c>
      <c r="L32" s="9" t="inlineStr">
        <is>
          <t>Held flat at the most recent observed level (the ratio rule): a ratio is inflation-neutral, so holding it IS the inflation adjustment. Held at 6.22%, the 1H 2026 actual ($119.4m on $1,920.4m of homebuilding revenue) rather than the 5.72% of FY2025 — using the older figure would override reported data.</t>
        </is>
      </c>
    </row>
    <row r="33">
      <c r="B33" s="38" t="inlineStr">
        <is>
          <t>Homebuilding G&amp;A (% of homebuilding revenue)</t>
        </is>
      </c>
      <c r="F33" s="39" t="n">
        <v>2.76</v>
      </c>
      <c r="G33" s="39" t="n">
        <v>2.76</v>
      </c>
      <c r="H33" s="39" t="n">
        <v>2.76</v>
      </c>
      <c r="I33" s="39" t="n">
        <v>2.76</v>
      </c>
      <c r="J33" s="39" t="n">
        <v>2.76</v>
      </c>
      <c r="L33" s="9" t="inlineStr">
        <is>
          <t>Held flat at the most recent observed level (the ratio rule): a ratio is inflation-neutral, so holding it IS the inflation adjustment. Held at 2.76%, the FY2025 actual. Total company G&amp;A is running flat year-on-year in 1H26, which is consistent with this.</t>
        </is>
      </c>
    </row>
    <row r="34">
      <c r="B34" s="38" t="inlineStr">
        <is>
          <t>Corporate / unallocated ($000)</t>
        </is>
      </c>
      <c r="F34" s="41" t="n">
        <v>-91872.8</v>
      </c>
      <c r="G34" s="41" t="n">
        <v>-94169.60000000001</v>
      </c>
      <c r="H34" s="41" t="n">
        <v>-96523.89999999999</v>
      </c>
      <c r="I34" s="41" t="n">
        <v>-98937</v>
      </c>
      <c r="J34" s="41" t="n">
        <v>-101410.4</v>
      </c>
      <c r="L34" s="9" t="inlineStr">
        <is>
          <t>Grown from its 2025 actual at the single inflation input above (the nominal rule) — not a hand-set path. 2025 actual −$89.6m (total operating income less the three segments). Not charged to either region in the 10-K segment note.</t>
        </is>
      </c>
    </row>
    <row r="35">
      <c r="B35" s="38" t="inlineStr">
        <is>
          <t>Inventory impairment &amp; write-offs ($000)</t>
        </is>
      </c>
      <c r="F35" s="41" t="n">
        <v>16000</v>
      </c>
      <c r="G35" s="41" t="n">
        <v>9000</v>
      </c>
      <c r="H35" s="41" t="n">
        <v>7000</v>
      </c>
      <c r="I35" s="41" t="n">
        <v>7000</v>
      </c>
      <c r="J35" s="41" t="n">
        <v>7000</v>
      </c>
      <c r="L35" s="9" t="inlineStr">
        <is>
          <t>$47.7m in 2025, of which $41.0m Southern.</t>
        </is>
      </c>
    </row>
    <row r="36">
      <c r="B36" s="38" t="inlineStr">
        <is>
          <t>Net interest income ($000)</t>
        </is>
      </c>
      <c r="F36" s="41" t="n">
        <v>18000</v>
      </c>
      <c r="G36" s="41" t="n">
        <v>18000</v>
      </c>
      <c r="H36" s="41" t="n">
        <v>18000</v>
      </c>
      <c r="I36" s="41" t="n">
        <v>18000</v>
      </c>
      <c r="J36" s="41" t="n">
        <v>18000</v>
      </c>
      <c r="L36" s="9" t="inlineStr">
        <is>
          <t>Held flat. Depends on the cash balance and short rates, neither of which this model forecasts; it is small enough that a path would be false precision.</t>
        </is>
      </c>
    </row>
    <row r="37">
      <c r="B37" s="14" t="inlineStr">
        <is>
          <t>Land sale gross margin (%)</t>
        </is>
      </c>
      <c r="C37" s="39" t="n">
        <v>7</v>
      </c>
      <c r="L37" s="2" t="inlineStr">
        <is>
          <t>Land sales carried a 24% gross margin in 2025 and 29% in 2024, but on only $17.6m and $12.6m of revenue. 7% is deliberately conservative on a line too small to matter.</t>
        </is>
      </c>
    </row>
    <row r="38">
      <c r="B38" s="14" t="inlineStr">
        <is>
          <t>Share of land revenue in Southern (%)</t>
        </is>
      </c>
      <c r="C38" s="42" t="n">
        <v>65</v>
      </c>
      <c r="L38" s="2" t="inlineStr">
        <is>
          <t>NOT DISCLOSED. The 10-K segment note gives total segment revenue only, so land sales cannot be split by region from the filings. This input does that split, and it matters because segment revenue includes land sales while average selling price must not. Moving it from 0% to 100% Southern changes the two-year Southern price decline by about $2k a home, so the thesis does not turn on it.</t>
        </is>
      </c>
    </row>
    <row r="39">
      <c r="B39" s="14" t="inlineStr">
        <is>
          <t>Financial services pre-tax margin (%)</t>
        </is>
      </c>
      <c r="C39" s="39" t="n">
        <v>54.5</v>
      </c>
      <c r="L39" s="2" t="inlineStr">
        <is>
          <t>54.3% in 2025 (op income $68.2m on revenue $125.5m).</t>
        </is>
      </c>
    </row>
    <row r="40">
      <c r="B40" s="14" t="inlineStr">
        <is>
          <t>Effective tax rate (%)</t>
        </is>
      </c>
      <c r="C40" s="39" t="n">
        <v>23.5</v>
      </c>
      <c r="L40" s="2" t="inlineStr">
        <is>
          <t>23.5% vs 23.5% in 2025; energy-efficiency credits keep it below statutory + state.</t>
        </is>
      </c>
    </row>
    <row r="41" ht="6" customHeight="1"/>
    <row r="42" ht="15.5" customHeight="1">
      <c r="B42" s="3" t="inlineStr">
        <is>
          <t>BALANCE SHEET &amp; CASH FLOW DRIVERS</t>
        </is>
      </c>
      <c r="C42" s="3" t="n"/>
      <c r="D42" s="3" t="n"/>
      <c r="E42" s="3" t="n"/>
      <c r="F42" s="3" t="n"/>
      <c r="G42" s="3" t="n"/>
      <c r="H42" s="3" t="n"/>
      <c r="I42" s="3" t="n"/>
      <c r="J42" s="3" t="n"/>
    </row>
    <row r="43">
      <c r="B43" s="38" t="inlineStr">
        <is>
          <t>Inventory turns (homebuilding revenue / ending inventory)</t>
        </is>
      </c>
      <c r="F43" s="40" t="n">
        <v>1.27</v>
      </c>
      <c r="G43" s="40" t="n">
        <v>1.27</v>
      </c>
      <c r="H43" s="40" t="n">
        <v>1.27</v>
      </c>
      <c r="I43" s="40" t="n">
        <v>1.27</v>
      </c>
      <c r="J43" s="40" t="n">
        <v>1.27</v>
      </c>
      <c r="L43" s="9" t="inlineStr">
        <is>
          <t>1.27x in 2025. Falls in 2026E as deliveries drop faster than the land pipeline.</t>
        </is>
      </c>
    </row>
    <row r="44">
      <c r="B44" s="38" t="inlineStr">
        <is>
          <t>Other operating assets (% of revenue)</t>
        </is>
      </c>
      <c r="F44" s="39" t="n">
        <v>14.35</v>
      </c>
      <c r="G44" s="39" t="n">
        <v>14.35</v>
      </c>
      <c r="H44" s="39" t="n">
        <v>14.35</v>
      </c>
      <c r="I44" s="39" t="n">
        <v>14.35</v>
      </c>
      <c r="J44" s="39" t="n">
        <v>14.35</v>
      </c>
      <c r="L44" s="9" t="inlineStr">
        <is>
          <t>Held flat at the most recent observed level (the ratio rule): a ratio is inflation-neutral, so holding it IS the inflation adjustment. Held at 14.35%, the 2025 actual.</t>
        </is>
      </c>
    </row>
    <row r="45">
      <c r="B45" s="38" t="inlineStr">
        <is>
          <t>Other liabilities (% of revenue)</t>
        </is>
      </c>
      <c r="F45" s="39" t="n">
        <v>14.44</v>
      </c>
      <c r="G45" s="39" t="n">
        <v>14.44</v>
      </c>
      <c r="H45" s="39" t="n">
        <v>14.44</v>
      </c>
      <c r="I45" s="39" t="n">
        <v>14.44</v>
      </c>
      <c r="J45" s="39" t="n">
        <v>14.44</v>
      </c>
      <c r="L45" s="9" t="inlineStr">
        <is>
          <t>A/P, accrued comp, customer deposits, warranty reserve. 14.4% in 2025.</t>
        </is>
      </c>
    </row>
    <row r="46">
      <c r="B46" s="38" t="inlineStr">
        <is>
          <t>Capital expenditure ($000)</t>
        </is>
      </c>
      <c r="F46" s="41" t="n">
        <v>9849.200000000001</v>
      </c>
      <c r="G46" s="41" t="n">
        <v>10095.5</v>
      </c>
      <c r="H46" s="41" t="n">
        <v>10347.8</v>
      </c>
      <c r="I46" s="41" t="n">
        <v>10606.5</v>
      </c>
      <c r="J46" s="41" t="n">
        <v>10871.7</v>
      </c>
      <c r="L46" s="9" t="inlineStr">
        <is>
          <t>Grown from its 2025 actual at the single inflation input above (the nominal rule) — not a hand-set path. 2025 actual $9.6m. Real investment for a builder is land, which sits in inventory, not here.</t>
        </is>
      </c>
    </row>
    <row r="47">
      <c r="B47" s="38" t="inlineStr">
        <is>
          <t>Depreciation &amp; amortisation ($000)</t>
        </is>
      </c>
      <c r="F47" s="41" t="n">
        <v>19370.4</v>
      </c>
      <c r="G47" s="41" t="n">
        <v>19854.7</v>
      </c>
      <c r="H47" s="41" t="n">
        <v>20351.1</v>
      </c>
      <c r="I47" s="41" t="n">
        <v>20859.9</v>
      </c>
      <c r="J47" s="41" t="n">
        <v>21381.4</v>
      </c>
      <c r="L47" s="9" t="inlineStr">
        <is>
          <t>Grown from its 2025 actual at the single inflation input above (the nominal rule) — not a hand-set path. 2025 actual $18.9m.</t>
        </is>
      </c>
    </row>
    <row r="48">
      <c r="B48" s="38" t="inlineStr">
        <is>
          <t>Stock-based compensation ($000)</t>
        </is>
      </c>
      <c r="F48" s="41" t="n">
        <v>17422.9</v>
      </c>
      <c r="G48" s="41" t="n">
        <v>17858.5</v>
      </c>
      <c r="H48" s="41" t="n">
        <v>18305</v>
      </c>
      <c r="I48" s="41" t="n">
        <v>18762.6</v>
      </c>
      <c r="J48" s="41" t="n">
        <v>19231.7</v>
      </c>
      <c r="L48" s="9" t="inlineStr">
        <is>
          <t>Grown from its 2025 actual at the single inflation input above (the nominal rule) — not a hand-set path. 2025 actual $17.0m. Treated as a real cost and deducted in the free cash flow build.</t>
        </is>
      </c>
    </row>
    <row r="49">
      <c r="B49" s="38" t="inlineStr">
        <is>
          <t>Share repurchase ($000)</t>
        </is>
      </c>
      <c r="F49" s="41" t="n">
        <v>185000</v>
      </c>
      <c r="G49" s="41" t="n">
        <v>185000</v>
      </c>
      <c r="H49" s="41" t="n">
        <v>185000</v>
      </c>
      <c r="I49" s="41" t="n">
        <v>185000</v>
      </c>
      <c r="J49" s="41" t="n">
        <v>185000</v>
      </c>
      <c r="L49" s="9" t="inlineStr">
        <is>
          <t>$202m in 2025, $177m in 2024. Assumes management sustains the pace.</t>
        </is>
      </c>
    </row>
    <row r="50">
      <c r="B50" s="38" t="inlineStr">
        <is>
          <t>Average repurchase price ($)</t>
        </is>
      </c>
      <c r="F50" s="43" t="n">
        <v>140.07</v>
      </c>
      <c r="G50" s="43" t="n">
        <v>140.07</v>
      </c>
      <c r="H50" s="43" t="n">
        <v>140.07</v>
      </c>
      <c r="I50" s="43" t="n">
        <v>140.07</v>
      </c>
      <c r="J50" s="43" t="n">
        <v>140.07</v>
      </c>
      <c r="L50" s="9" t="inlineStr">
        <is>
          <t>HELD AT THE CURRENT MARKET PRICE. This model does not forecast the share price. The previous path ramped $150 to $200, which assumed the stock rises 35% while the note argues it is worth less than it trades for today — internally inconsistent. It affects reported EPS in the outer years (shares retired = buyback / this price) but not the DCF or the target.</t>
        </is>
      </c>
    </row>
    <row r="51">
      <c r="B51" s="38" t="inlineStr">
        <is>
          <t>Option / RSU issuance (000 shares)</t>
        </is>
      </c>
      <c r="F51" s="41" t="n">
        <v>150</v>
      </c>
      <c r="G51" s="41" t="n">
        <v>150</v>
      </c>
      <c r="H51" s="41" t="n">
        <v>150</v>
      </c>
      <c r="I51" s="41" t="n">
        <v>150</v>
      </c>
      <c r="J51" s="41" t="n">
        <v>150</v>
      </c>
      <c r="L51" s="9" t="inlineStr">
        <is>
          <t>Held flat at 150k shares a year, roughly the recent run-rate. A unit count, so nothing to inflate.</t>
        </is>
      </c>
    </row>
    <row r="52">
      <c r="B52" s="38" t="inlineStr">
        <is>
          <t>Homebuilding debt ($000)</t>
        </is>
      </c>
      <c r="F52" s="41" t="n">
        <v>696500</v>
      </c>
      <c r="G52" s="41" t="n">
        <v>696500</v>
      </c>
      <c r="H52" s="41" t="n">
        <v>696500</v>
      </c>
      <c r="I52" s="41" t="n">
        <v>550000</v>
      </c>
      <c r="J52" s="41" t="n">
        <v>550000</v>
      </c>
      <c r="L52" s="9" t="inlineStr">
        <is>
          <t>CONTRACTUAL, not a growth assumption and not inflated — you owe the face amount until it matures. Two senior notes: $400.0m of 4.95% notes due 2028 and $300.0m of 3.95% notes due 2030, carried at $696.5m net of unamortised issuance cost. The 2029 step-down assumes roughly $150m of the 2028 maturity is retired from cash and the rest refinanced; MHO held $735.9m of cash against $696.9m of debt at 30-Jun-26, so full repayment is affordable and this is the middle course.</t>
        </is>
      </c>
    </row>
    <row r="53">
      <c r="B53" s="38" t="inlineStr">
        <is>
          <t>Financial services debt ($000)</t>
        </is>
      </c>
      <c r="F53" s="41" t="n">
        <v>258448</v>
      </c>
      <c r="G53" s="41" t="n">
        <v>274124</v>
      </c>
      <c r="H53" s="41" t="n">
        <v>294507</v>
      </c>
      <c r="I53" s="41" t="n">
        <v>313666</v>
      </c>
      <c r="J53" s="41" t="n">
        <v>333000</v>
      </c>
      <c r="L53" s="9" t="inlineStr">
        <is>
          <t>DERIVED, not assumed: mortgage warehouse facilities fund closings on the builder own homes, so the balance scales with homebuilding revenue at 6.45% — the 2025 actual ($277m on $4,292m); 2024 was 6.52%. Matched by loans held for sale and excluded from net debt. Not inflated: this is a funding line tied to volume, not a price-level cost.</t>
        </is>
      </c>
    </row>
    <row r="54">
      <c r="B54" s="14" t="inlineStr">
        <is>
          <t>Property &amp; equipment at 31-Dec-2025 ($000)</t>
        </is>
      </c>
      <c r="C54" s="41" t="n">
        <v>70000</v>
      </c>
      <c r="L54" s="9" t="inlineStr">
        <is>
          <t>Opening balance only, not a driver. Property and equipment is carried outside inventory and is immaterial for a builder; it exists so the balance sheet ties. Capex and depreciation above move it.</t>
        </is>
      </c>
    </row>
    <row r="55" ht="6" customHeight="1"/>
    <row r="56" ht="15.5" customHeight="1">
      <c r="B56" s="3" t="inlineStr">
        <is>
          <t>VALUATION INPUTS</t>
        </is>
      </c>
      <c r="C56" s="3" t="n"/>
      <c r="D56" s="3" t="n"/>
      <c r="E56" s="3" t="n"/>
      <c r="F56" s="3" t="n"/>
      <c r="G56" s="3" t="n"/>
      <c r="H56" s="3" t="n"/>
      <c r="I56" s="3" t="n"/>
      <c r="J56" s="3" t="n"/>
    </row>
    <row r="57">
      <c r="B57" s="14" t="inlineStr">
        <is>
          <t>Risk-free rate — 10-yr UST (%)</t>
        </is>
      </c>
      <c r="C57" s="39" t="n">
        <v>4.95</v>
      </c>
      <c r="L57" s="2" t="inlineStr">
        <is>
          <t>FRED DGS10, 11-Sep-2026. 30-yr UST 5.37% the same day. Pulled 11-Sep-2026.</t>
        </is>
      </c>
    </row>
    <row r="58">
      <c r="B58" s="14" t="inlineStr">
        <is>
          <t>Equity risk premium (%)</t>
        </is>
      </c>
      <c r="C58" s="39" t="n">
        <v>5</v>
      </c>
    </row>
    <row r="59">
      <c r="B59" s="14" t="inlineStr">
        <is>
          <t>Beta (levered)</t>
        </is>
      </c>
      <c r="C59" s="40" t="n">
        <v>1.41</v>
      </c>
      <c r="L59" s="2" t="inlineStr">
        <is>
          <t>Blume-adjusted: 0.67 x the published 5-yr raw beta of 1.61, + 0.33 x 1.0. Raw historical betas are noisy and mean-revert, which is why Bloomberg reports the adjusted figure.</t>
        </is>
      </c>
    </row>
    <row r="60">
      <c r="B60" s="14" t="inlineStr">
        <is>
          <t>Pre-tax cost of debt (%)</t>
        </is>
      </c>
      <c r="C60" s="39" t="n">
        <v>6.25</v>
      </c>
      <c r="L60" s="2" t="inlineStr">
        <is>
          <t>BB index effective yield (FRED BAMLH0A1HYBBEY) + 22bp. MHO upgraded to BB+ in 2026. Pulled 11-Sep-2026.</t>
        </is>
      </c>
    </row>
    <row r="61">
      <c r="B61" s="14" t="inlineStr">
        <is>
          <t>Terminal growth rate (%)</t>
        </is>
      </c>
      <c r="C61" s="39" t="n">
        <v>2.5</v>
      </c>
    </row>
    <row r="62">
      <c r="B62" s="14" t="inlineStr">
        <is>
          <t>Share price ($)</t>
        </is>
      </c>
      <c r="C62" s="25" t="n">
        <v>140.07</v>
      </c>
      <c r="L62" s="2" t="inlineStr">
        <is>
          <t>stockanalysis.com, 04-Sep-2026 11:44 ET. Rates on this sheet were refreshed 11-Sep-2026; the share price was not.</t>
        </is>
      </c>
    </row>
    <row r="63">
      <c r="B63" s="14" t="inlineStr">
        <is>
          <t>Shares outstanding (000)</t>
        </is>
      </c>
      <c r="C63" s="41" t="n">
        <v>25276</v>
      </c>
      <c r="L63" s="2" t="inlineStr">
        <is>
          <t>Per Q2-26 10-Q cover.</t>
        </is>
      </c>
    </row>
  </sheetData>
  <pageMargins left="0.75" right="0.75" top="1" bottom="1" header="0.5" footer="0.5"/>
</worksheet>
</file>

<file path=xl/worksheets/sheet4.xml><?xml version="1.0" encoding="utf-8"?>
<worksheet xmlns="http://schemas.openxmlformats.org/spreadsheetml/2006/main">
  <sheetPr>
    <tabColor rgb="0034506B"/>
    <outlinePr summaryBelow="1" summaryRight="1"/>
    <pageSetUpPr/>
  </sheetPr>
  <dimension ref="B2:L80"/>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Historicals — as reported</t>
        </is>
      </c>
    </row>
    <row r="3">
      <c r="B3" s="2" t="inlineStr">
        <is>
          <t>Hand-entered from the FY2025 10-K (filed 13-Feb-2026) and the Q4 earnings releases. Nothing on this sheet is calculated except the check rows. Source for each block in column L.</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OPERATING — by region   [FY2025 10-K MD&amp;A; Q4 earnings releases 2024–2026]</t>
        </is>
      </c>
      <c r="C7" s="3" t="n"/>
      <c r="D7" s="3" t="n"/>
      <c r="E7" s="3" t="n"/>
      <c r="F7" s="3" t="n"/>
      <c r="G7" s="3" t="n"/>
      <c r="H7" s="3" t="n"/>
      <c r="I7" s="3" t="n"/>
      <c r="J7" s="3" t="n"/>
    </row>
    <row r="8">
      <c r="B8" s="38" t="inlineStr">
        <is>
          <t>Homes delivered — Northern</t>
        </is>
      </c>
      <c r="C8" s="41" t="n">
        <v>3169</v>
      </c>
      <c r="D8" s="41" t="n">
        <v>3873</v>
      </c>
      <c r="E8" s="41" t="n">
        <v>3716</v>
      </c>
      <c r="L8" s="9" t="inlineStr">
        <is>
          <t>FY25 rel. p.6 / FY24 rel. / FY23 rel.</t>
        </is>
      </c>
    </row>
    <row r="9">
      <c r="B9" s="38" t="inlineStr">
        <is>
          <t>Homes delivered — Southern</t>
        </is>
      </c>
      <c r="C9" s="41" t="n">
        <v>4943</v>
      </c>
      <c r="D9" s="41" t="n">
        <v>5182</v>
      </c>
      <c r="E9" s="41" t="n">
        <v>5205</v>
      </c>
    </row>
    <row r="10">
      <c r="B10" s="44" t="inlineStr">
        <is>
          <t>Homes delivered — total</t>
        </is>
      </c>
      <c r="C10" s="45">
        <f>C8+C9</f>
        <v/>
      </c>
      <c r="D10" s="45">
        <f>D8+D9</f>
        <v/>
      </c>
      <c r="E10" s="45">
        <f>E8+E9</f>
        <v/>
      </c>
      <c r="L10" s="9" t="inlineStr">
        <is>
          <t>Ties to 8,112 / 9,055 / 8,921 as reported.</t>
        </is>
      </c>
    </row>
    <row r="11">
      <c r="B11" s="38" t="inlineStr">
        <is>
          <t>New contracts — Northern</t>
        </is>
      </c>
      <c r="C11" s="41" t="n">
        <v>3361</v>
      </c>
      <c r="D11" s="41" t="n">
        <v>3761</v>
      </c>
      <c r="E11" s="41" t="n">
        <v>3416</v>
      </c>
    </row>
    <row r="12">
      <c r="B12" s="38" t="inlineStr">
        <is>
          <t>New contracts — Southern</t>
        </is>
      </c>
      <c r="C12" s="41" t="n">
        <v>4616</v>
      </c>
      <c r="D12" s="41" t="n">
        <v>4823</v>
      </c>
      <c r="E12" s="41" t="n">
        <v>4783</v>
      </c>
    </row>
    <row r="13">
      <c r="B13" s="38" t="inlineStr">
        <is>
          <t>Backlog units — year end</t>
        </is>
      </c>
      <c r="C13" s="41" t="n">
        <v>3002</v>
      </c>
      <c r="D13" s="41" t="n">
        <v>2531</v>
      </c>
      <c r="E13" s="41" t="n">
        <v>1809</v>
      </c>
      <c r="L13" s="9" t="inlineStr">
        <is>
          <t>3,002 / 2,531 / 1,809 — down 40% over two years.</t>
        </is>
      </c>
    </row>
    <row r="14">
      <c r="B14" s="38" t="inlineStr">
        <is>
          <t>Active communities</t>
        </is>
      </c>
      <c r="D14" s="41" t="n">
        <v>220</v>
      </c>
      <c r="E14" s="41" t="n">
        <v>232</v>
      </c>
    </row>
    <row r="15" ht="6" customHeight="1"/>
    <row r="16" ht="15.5" customHeight="1">
      <c r="B16" s="3" t="inlineStr">
        <is>
          <t>SEGMENT REVENUE   [FY2025 10-K, Note 12 “Business Segments”]</t>
        </is>
      </c>
      <c r="C16" s="3" t="n"/>
      <c r="D16" s="3" t="n"/>
      <c r="E16" s="3" t="n"/>
      <c r="F16" s="3" t="n"/>
      <c r="G16" s="3" t="n"/>
      <c r="H16" s="3" t="n"/>
      <c r="I16" s="3" t="n"/>
      <c r="J16" s="3" t="n"/>
    </row>
    <row r="17">
      <c r="B17" s="38" t="inlineStr">
        <is>
          <t>Northern homebuilding</t>
        </is>
      </c>
      <c r="C17" s="41" t="n">
        <v>1523943</v>
      </c>
      <c r="D17" s="41" t="n">
        <v>1900013</v>
      </c>
      <c r="E17" s="41" t="n">
        <v>1890457</v>
      </c>
      <c r="L17" s="9" t="inlineStr">
        <is>
          <t>FY2025 10-K, Note 12 Business Segments (R84) - filed 2026-02-13, acc 0000799292-26-000006</t>
        </is>
      </c>
    </row>
    <row r="18">
      <c r="B18" s="38" t="inlineStr">
        <is>
          <t>Southern homebuilding</t>
        </is>
      </c>
      <c r="C18" s="41" t="n">
        <v>2415730</v>
      </c>
      <c r="D18" s="41" t="n">
        <v>2488451</v>
      </c>
      <c r="E18" s="41" t="n">
        <v>2401861</v>
      </c>
    </row>
    <row r="19">
      <c r="B19" s="38" t="inlineStr">
        <is>
          <t>Financial services</t>
        </is>
      </c>
      <c r="C19" s="41" t="n">
        <v>93829</v>
      </c>
      <c r="D19" s="41" t="n">
        <v>116206</v>
      </c>
      <c r="E19" s="41" t="n">
        <v>125463</v>
      </c>
    </row>
    <row r="20">
      <c r="B20" s="44" t="inlineStr">
        <is>
          <t>Total revenue</t>
        </is>
      </c>
      <c r="C20" s="45">
        <f>SUM(C17:C19)</f>
        <v/>
      </c>
      <c r="D20" s="45">
        <f>SUM(D17:D19)</f>
        <v/>
      </c>
      <c r="E20" s="45">
        <f>SUM(E17:E19)</f>
        <v/>
      </c>
      <c r="L20" s="9" t="inlineStr">
        <is>
          <t>Ties to $4,033.5m / $4,504.7m / $4,417.8m as reported.</t>
        </is>
      </c>
    </row>
    <row r="21">
      <c r="B21" s="46" t="inlineStr">
        <is>
          <t xml:space="preserve">  of which: land sale revenue (company total)</t>
        </is>
      </c>
      <c r="C21" s="41" t="n">
        <v>25301</v>
      </c>
      <c r="D21" s="41" t="n">
        <v>12635</v>
      </c>
      <c r="E21" s="41" t="n">
        <v>17644</v>
      </c>
      <c r="L21" s="9" t="inlineStr">
        <is>
          <t>FY23/24/25 8-K Ex-99.1, "Land revenue". Segment revenue above INCLUDES this; it is not a home price. Not disclosed by segment, so it is split on the Assumptions land-split input.</t>
        </is>
      </c>
    </row>
    <row r="22">
      <c r="B22" s="46" t="inlineStr">
        <is>
          <t xml:space="preserve">  of which: land sale gross profit (company total)</t>
        </is>
      </c>
      <c r="C22" s="41" t="n">
        <v>3360</v>
      </c>
      <c r="D22" s="41" t="n">
        <v>3709</v>
      </c>
      <c r="E22" s="41" t="n">
        <v>4196</v>
      </c>
    </row>
    <row r="23" ht="6" customHeight="1"/>
    <row r="24" ht="15.5" customHeight="1">
      <c r="B24" s="3" t="inlineStr">
        <is>
          <t>SEGMENT LAND &amp; HOUSING COST</t>
        </is>
      </c>
      <c r="C24" s="3" t="n"/>
      <c r="D24" s="3" t="n"/>
      <c r="E24" s="3" t="n"/>
      <c r="F24" s="3" t="n"/>
      <c r="G24" s="3" t="n"/>
      <c r="H24" s="3" t="n"/>
      <c r="I24" s="3" t="n"/>
      <c r="J24" s="3" t="n"/>
    </row>
    <row r="25">
      <c r="B25" s="38" t="inlineStr">
        <is>
          <t>Northern</t>
        </is>
      </c>
      <c r="C25" s="41" t="n">
        <v>1228949</v>
      </c>
      <c r="D25" s="41" t="n">
        <v>1480326</v>
      </c>
      <c r="E25" s="41" t="n">
        <v>1475438</v>
      </c>
    </row>
    <row r="26">
      <c r="B26" s="38" t="inlineStr">
        <is>
          <t>Southern</t>
        </is>
      </c>
      <c r="C26" s="41" t="n">
        <v>1785624</v>
      </c>
      <c r="D26" s="41" t="n">
        <v>1825455</v>
      </c>
      <c r="E26" s="41" t="n">
        <v>1925144</v>
      </c>
    </row>
    <row r="27">
      <c r="B27" s="46" t="inlineStr">
        <is>
          <t xml:space="preserve">  of which: inventory write-offs — Northern</t>
        </is>
      </c>
      <c r="C27" s="41" t="n">
        <v>0</v>
      </c>
      <c r="D27" s="41" t="n">
        <v>0</v>
      </c>
      <c r="E27" s="41" t="n">
        <v>6700</v>
      </c>
      <c r="L27" s="9" t="inlineStr">
        <is>
          <t>2025 total valuation adjustments $47.7m.</t>
        </is>
      </c>
    </row>
    <row r="28">
      <c r="B28" s="46" t="inlineStr">
        <is>
          <t xml:space="preserve">  of which: inventory write-offs — Southern</t>
        </is>
      </c>
      <c r="C28" s="41" t="n">
        <v>0</v>
      </c>
      <c r="D28" s="41" t="n">
        <v>0</v>
      </c>
      <c r="E28" s="41" t="n">
        <v>41000</v>
      </c>
    </row>
    <row r="29" ht="6" customHeight="1"/>
    <row r="30" ht="15.5" customHeight="1">
      <c r="B30" s="3" t="inlineStr">
        <is>
          <t>SEGMENT OPERATING INCOME</t>
        </is>
      </c>
      <c r="C30" s="3" t="n"/>
      <c r="D30" s="3" t="n"/>
      <c r="E30" s="3" t="n"/>
      <c r="F30" s="3" t="n"/>
      <c r="G30" s="3" t="n"/>
      <c r="H30" s="3" t="n"/>
      <c r="I30" s="3" t="n"/>
      <c r="J30" s="3" t="n"/>
    </row>
    <row r="31">
      <c r="B31" s="38" t="inlineStr">
        <is>
          <t>Northern homebuilding</t>
        </is>
      </c>
      <c r="C31" s="41" t="n">
        <v>176320</v>
      </c>
      <c r="D31" s="41" t="n">
        <v>281099</v>
      </c>
      <c r="E31" s="41" t="n">
        <v>278056</v>
      </c>
    </row>
    <row r="32">
      <c r="B32" s="38" t="inlineStr">
        <is>
          <t>Southern homebuilding</t>
        </is>
      </c>
      <c r="C32" s="41" t="n">
        <v>440168</v>
      </c>
      <c r="D32" s="41" t="n">
        <v>450598</v>
      </c>
      <c r="E32" s="41" t="n">
        <v>249969</v>
      </c>
    </row>
    <row r="33">
      <c r="B33" s="38" t="inlineStr">
        <is>
          <t>Financial services</t>
        </is>
      </c>
      <c r="C33" s="41" t="n">
        <v>48714</v>
      </c>
      <c r="D33" s="41" t="n">
        <v>63380</v>
      </c>
      <c r="E33" s="41" t="n">
        <v>68160</v>
      </c>
    </row>
    <row r="34">
      <c r="B34" s="38" t="inlineStr">
        <is>
          <t>Corporate / unallocated</t>
        </is>
      </c>
      <c r="C34" s="13">
        <f>Historicals!C35-C31-C32-C33</f>
        <v/>
      </c>
      <c r="D34" s="13">
        <f>Historicals!D35-D31-D32-D33</f>
        <v/>
      </c>
      <c r="E34" s="13">
        <f>Historicals!E35-E31-E32-E33</f>
        <v/>
      </c>
    </row>
    <row r="35">
      <c r="B35" s="44" t="inlineStr">
        <is>
          <t>Total operating income</t>
        </is>
      </c>
      <c r="C35" s="47" t="n">
        <v>587222</v>
      </c>
      <c r="D35" s="47" t="n">
        <v>706094</v>
      </c>
      <c r="E35" s="47" t="n">
        <v>506553</v>
      </c>
    </row>
    <row r="36" ht="6" customHeight="1"/>
    <row r="37" ht="15.5" customHeight="1">
      <c r="B37" s="3" t="inlineStr">
        <is>
          <t>SEGMENT SELLING AND G&amp;A</t>
        </is>
      </c>
      <c r="C37" s="3" t="n"/>
      <c r="D37" s="3" t="n"/>
      <c r="E37" s="3" t="n"/>
      <c r="F37" s="3" t="n"/>
      <c r="G37" s="3" t="n"/>
      <c r="H37" s="3" t="n"/>
      <c r="I37" s="3" t="n"/>
      <c r="J37" s="3" t="n"/>
    </row>
    <row r="38">
      <c r="B38" s="38" t="inlineStr">
        <is>
          <t>Selling — Northern</t>
        </is>
      </c>
      <c r="C38" s="41" t="n">
        <v>81847</v>
      </c>
      <c r="D38" s="41" t="n">
        <v>95680</v>
      </c>
      <c r="E38" s="41" t="n">
        <v>95860</v>
      </c>
    </row>
    <row r="39">
      <c r="B39" s="38" t="inlineStr">
        <is>
          <t>Selling — Southern</t>
        </is>
      </c>
      <c r="C39" s="41" t="n">
        <v>124860</v>
      </c>
      <c r="D39" s="41" t="n">
        <v>136198</v>
      </c>
      <c r="E39" s="41" t="n">
        <v>149457</v>
      </c>
    </row>
    <row r="40">
      <c r="B40" s="38" t="inlineStr">
        <is>
          <t>G&amp;A — Northern</t>
        </is>
      </c>
      <c r="C40" s="41" t="n">
        <v>36827</v>
      </c>
      <c r="D40" s="41" t="n">
        <v>42908</v>
      </c>
      <c r="E40" s="41" t="n">
        <v>41103</v>
      </c>
    </row>
    <row r="41">
      <c r="B41" s="38" t="inlineStr">
        <is>
          <t>G&amp;A — Southern</t>
        </is>
      </c>
      <c r="C41" s="41" t="n">
        <v>65078</v>
      </c>
      <c r="D41" s="41" t="n">
        <v>76200</v>
      </c>
      <c r="E41" s="41" t="n">
        <v>77291</v>
      </c>
    </row>
    <row r="42">
      <c r="B42" s="38" t="inlineStr">
        <is>
          <t>G&amp;A — Financial services</t>
        </is>
      </c>
      <c r="C42" s="41" t="n">
        <v>45115</v>
      </c>
      <c r="D42" s="41" t="n">
        <v>52826</v>
      </c>
      <c r="E42" s="41" t="n">
        <v>57303</v>
      </c>
    </row>
    <row r="43" ht="6" customHeight="1"/>
    <row r="44" ht="15.5" customHeight="1">
      <c r="B44" s="3" t="inlineStr">
        <is>
          <t>CONSOLIDATED INCOME STATEMENT   [FY2025 10-K; XBRL companyfacts CIK 0000799292]</t>
        </is>
      </c>
      <c r="C44" s="3" t="n"/>
      <c r="D44" s="3" t="n"/>
      <c r="E44" s="3" t="n"/>
      <c r="F44" s="3" t="n"/>
      <c r="G44" s="3" t="n"/>
      <c r="H44" s="3" t="n"/>
      <c r="I44" s="3" t="n"/>
      <c r="J44" s="3" t="n"/>
    </row>
    <row r="45">
      <c r="B45" s="38" t="inlineStr">
        <is>
          <t>Land and housing costs</t>
        </is>
      </c>
      <c r="C45" s="41" t="n">
        <v>3014573</v>
      </c>
      <c r="D45" s="41" t="n">
        <v>3305781</v>
      </c>
      <c r="E45" s="41" t="n">
        <v>3400582</v>
      </c>
    </row>
    <row r="46">
      <c r="B46" s="38" t="inlineStr">
        <is>
          <t>Income before income taxes</t>
        </is>
      </c>
      <c r="C46" s="41" t="n">
        <v>607277</v>
      </c>
      <c r="D46" s="41" t="n">
        <v>733608</v>
      </c>
      <c r="E46" s="41" t="n">
        <v>526588</v>
      </c>
    </row>
    <row r="47">
      <c r="B47" s="38" t="inlineStr">
        <is>
          <t>Provision for income taxes</t>
        </is>
      </c>
      <c r="C47" s="41" t="n">
        <v>141912</v>
      </c>
      <c r="D47" s="41" t="n">
        <v>169883</v>
      </c>
      <c r="E47" s="41" t="n">
        <v>123647</v>
      </c>
    </row>
    <row r="48">
      <c r="B48" s="38" t="inlineStr">
        <is>
          <t>Net income</t>
        </is>
      </c>
      <c r="C48" s="41" t="n">
        <v>465365</v>
      </c>
      <c r="D48" s="41" t="n">
        <v>563725</v>
      </c>
      <c r="E48" s="41" t="n">
        <v>402941</v>
      </c>
    </row>
    <row r="49">
      <c r="B49" s="38" t="inlineStr">
        <is>
          <t>Diluted EPS ($)</t>
        </is>
      </c>
      <c r="C49" s="40" t="n">
        <v>16.21</v>
      </c>
      <c r="D49" s="40" t="n">
        <v>19.71</v>
      </c>
      <c r="E49" s="40" t="n">
        <v>14.74</v>
      </c>
    </row>
    <row r="50">
      <c r="B50" s="38" t="inlineStr">
        <is>
          <t>Diluted weighted-average shares (000)</t>
        </is>
      </c>
      <c r="C50" s="41" t="n">
        <v>28716</v>
      </c>
      <c r="D50" s="41" t="n">
        <v>28600</v>
      </c>
      <c r="E50" s="41" t="n">
        <v>27338</v>
      </c>
    </row>
    <row r="51">
      <c r="B51" s="38" t="inlineStr">
        <is>
          <t>Shares outstanding, year end (000)</t>
        </is>
      </c>
      <c r="C51" s="41" t="n">
        <v>27600</v>
      </c>
      <c r="D51" s="41" t="n">
        <v>27060</v>
      </c>
      <c r="E51" s="41" t="n">
        <v>25763</v>
      </c>
    </row>
    <row r="52" ht="6" customHeight="1"/>
    <row r="53" ht="15.5" customHeight="1">
      <c r="B53" s="3" t="inlineStr">
        <is>
          <t>CONSOLIDATED BALANCE SHEET / CASH FLOW</t>
        </is>
      </c>
      <c r="C53" s="3" t="n"/>
      <c r="D53" s="3" t="n"/>
      <c r="E53" s="3" t="n"/>
      <c r="F53" s="3" t="n"/>
      <c r="G53" s="3" t="n"/>
      <c r="H53" s="3" t="n"/>
      <c r="I53" s="3" t="n"/>
      <c r="J53" s="3" t="n"/>
    </row>
    <row r="54">
      <c r="B54" s="38" t="inlineStr">
        <is>
          <t>Cash and cash equivalents</t>
        </is>
      </c>
      <c r="C54" s="41" t="n">
        <v>733000</v>
      </c>
      <c r="D54" s="41" t="n">
        <v>821600</v>
      </c>
      <c r="E54" s="41" t="n">
        <v>689200</v>
      </c>
    </row>
    <row r="55">
      <c r="B55" s="38" t="inlineStr">
        <is>
          <t>Inventory</t>
        </is>
      </c>
      <c r="C55" s="41" t="n">
        <v>2797151</v>
      </c>
      <c r="D55" s="41" t="n">
        <v>3091862</v>
      </c>
      <c r="E55" s="41" t="n">
        <v>3383941</v>
      </c>
    </row>
    <row r="56">
      <c r="B56" s="38" t="inlineStr">
        <is>
          <t>Total assets</t>
        </is>
      </c>
      <c r="C56" s="41" t="n">
        <v>4022440</v>
      </c>
      <c r="D56" s="41" t="n">
        <v>4549796</v>
      </c>
      <c r="E56" s="41" t="n">
        <v>4777125</v>
      </c>
    </row>
    <row r="57">
      <c r="B57" s="38" t="inlineStr">
        <is>
          <t>Homebuilding debt</t>
        </is>
      </c>
      <c r="C57" s="41" t="n">
        <v>693744</v>
      </c>
      <c r="D57" s="41" t="n">
        <v>695022</v>
      </c>
      <c r="E57" s="41" t="n">
        <v>696300</v>
      </c>
    </row>
    <row r="58">
      <c r="B58" s="38" t="inlineStr">
        <is>
          <t>Financial services debt</t>
        </is>
      </c>
      <c r="C58" s="41" t="n">
        <v>165844</v>
      </c>
      <c r="D58" s="41" t="n">
        <v>286159</v>
      </c>
      <c r="E58" s="41" t="n">
        <v>276856</v>
      </c>
    </row>
    <row r="59">
      <c r="B59" s="38" t="inlineStr">
        <is>
          <t>Shareholders' equity</t>
        </is>
      </c>
      <c r="C59" s="41" t="n">
        <v>2516939</v>
      </c>
      <c r="D59" s="41" t="n">
        <v>2939677</v>
      </c>
      <c r="E59" s="41" t="n">
        <v>3166190</v>
      </c>
    </row>
    <row r="60">
      <c r="B60" s="38" t="inlineStr">
        <is>
          <t>Cash from operating activities</t>
        </is>
      </c>
      <c r="C60" s="41" t="n">
        <v>552131</v>
      </c>
      <c r="D60" s="41" t="n">
        <v>179736</v>
      </c>
      <c r="E60" s="41" t="n">
        <v>137349</v>
      </c>
    </row>
    <row r="61">
      <c r="B61" s="38" t="inlineStr">
        <is>
          <t>Depreciation &amp; amortisation</t>
        </is>
      </c>
      <c r="C61" s="41" t="n">
        <v>15791</v>
      </c>
      <c r="D61" s="41" t="n">
        <v>17386</v>
      </c>
      <c r="E61" s="41" t="n">
        <v>18898</v>
      </c>
    </row>
    <row r="62">
      <c r="B62" s="38" t="inlineStr">
        <is>
          <t>Stock-based compensation</t>
        </is>
      </c>
      <c r="C62" s="41" t="n">
        <v>11370</v>
      </c>
      <c r="D62" s="41" t="n">
        <v>14564</v>
      </c>
      <c r="E62" s="41" t="n">
        <v>16998</v>
      </c>
    </row>
    <row r="63">
      <c r="B63" s="38" t="inlineStr">
        <is>
          <t>Capital expenditure</t>
        </is>
      </c>
      <c r="C63" s="41" t="n">
        <v>5769</v>
      </c>
      <c r="D63" s="41" t="n">
        <v>8417</v>
      </c>
      <c r="E63" s="41" t="n">
        <v>9609</v>
      </c>
    </row>
    <row r="64">
      <c r="B64" s="38" t="inlineStr">
        <is>
          <t>Share repurchases</t>
        </is>
      </c>
      <c r="C64" s="41" t="n">
        <v>65344</v>
      </c>
      <c r="D64" s="41" t="n">
        <v>176953</v>
      </c>
      <c r="E64" s="41" t="n">
        <v>202033</v>
      </c>
    </row>
    <row r="65" ht="6" customHeight="1"/>
    <row r="66" ht="15.5" customHeight="1">
      <c r="B66" s="3" t="inlineStr">
        <is>
          <t>DERIVED DIAGNOSTICS  —  the analytical core of the note</t>
        </is>
      </c>
      <c r="C66" s="3" t="n"/>
      <c r="D66" s="3" t="n"/>
      <c r="E66" s="3" t="n"/>
      <c r="F66" s="3" t="n"/>
      <c r="G66" s="3" t="n"/>
      <c r="H66" s="3" t="n"/>
      <c r="I66" s="3" t="n"/>
      <c r="J66" s="3" t="n"/>
    </row>
    <row r="67">
      <c r="B67" s="38" t="inlineStr">
        <is>
          <t>Net ASP — Northern ($000)</t>
        </is>
      </c>
      <c r="C67" s="48">
        <f>(C17-C21*(1-Assumptions!$C$38/100))/C8</f>
        <v/>
      </c>
      <c r="D67" s="48">
        <f>(D17-D21*(1-Assumptions!$C$38/100))/D8</f>
        <v/>
      </c>
      <c r="E67" s="48">
        <f>(E17-E21*(1-Assumptions!$C$38/100))/E8</f>
        <v/>
      </c>
      <c r="L67" s="9" t="inlineStr">
        <is>
          <t>Housing revenue per home delivered, land sales stripped out. Northern price is RISING.</t>
        </is>
      </c>
    </row>
    <row r="68">
      <c r="B68" s="38" t="inlineStr">
        <is>
          <t>Net ASP — Southern ($000)</t>
        </is>
      </c>
      <c r="C68" s="48">
        <f>(C18-C21*Assumptions!$C$38/100)/C9</f>
        <v/>
      </c>
      <c r="D68" s="48">
        <f>(D18-D21*Assumptions!$C$38/100)/D9</f>
        <v/>
      </c>
      <c r="E68" s="48">
        <f>(E18-E21*Assumptions!$C$38/100)/E9</f>
        <v/>
      </c>
      <c r="L68" s="9" t="inlineStr">
        <is>
          <t>Southern price is FALLING. Land sale revenue is excluded so this is a home price; the company-wide equivalent ties to the disclosed average closing price of $483 / $483 / $479.</t>
        </is>
      </c>
    </row>
    <row r="69">
      <c r="B69" s="38" t="inlineStr">
        <is>
          <t>Cost per home ex-charges — Northern ($000)</t>
        </is>
      </c>
      <c r="C69" s="48">
        <f>(C25-C27-(C21-C22)*(1-Assumptions!$C$38/100))/C8</f>
        <v/>
      </c>
      <c r="D69" s="48">
        <f>(D25-D27-(D21-D22)*(1-Assumptions!$C$38/100))/D8</f>
        <v/>
      </c>
      <c r="E69" s="48">
        <f>(E25-E27-(E21-E22)*(1-Assumptions!$C$38/100))/E8</f>
        <v/>
      </c>
    </row>
    <row r="70">
      <c r="B70" s="38" t="inlineStr">
        <is>
          <t>Cost per home ex-charges — Southern ($000)</t>
        </is>
      </c>
      <c r="C70" s="48">
        <f>(C26-C28-(C21-C22)*Assumptions!$C$38/100)/C9</f>
        <v/>
      </c>
      <c r="D70" s="48">
        <f>(D26-D28-(D21-D22)*Assumptions!$C$38/100)/D9</f>
        <v/>
      </c>
      <c r="E70" s="48">
        <f>(E26-E28-(E21-E22)*Assumptions!$C$38/100)/E9</f>
        <v/>
      </c>
      <c r="L70" s="9" t="inlineStr">
        <is>
          <t>Cost is not the problem — price is.</t>
        </is>
      </c>
    </row>
    <row r="71">
      <c r="B71" s="38" t="inlineStr">
        <is>
          <t>Gross margin — Northern (%)</t>
        </is>
      </c>
      <c r="C71" s="16">
        <f>1-C25/C17</f>
        <v/>
      </c>
      <c r="D71" s="16">
        <f>1-D25/D17</f>
        <v/>
      </c>
      <c r="E71" s="16">
        <f>1-E25/E17</f>
        <v/>
      </c>
    </row>
    <row r="72">
      <c r="B72" s="38" t="inlineStr">
        <is>
          <t>Gross margin — Southern (%)</t>
        </is>
      </c>
      <c r="C72" s="16">
        <f>1-C26/C18</f>
        <v/>
      </c>
      <c r="D72" s="16">
        <f>1-D26/D18</f>
        <v/>
      </c>
      <c r="E72" s="16">
        <f>1-E26/E18</f>
        <v/>
      </c>
      <c r="L72" s="9" t="inlineStr">
        <is>
          <t>26.1% → 26.6% → 19.8%. A 680bp collapse in one year.</t>
        </is>
      </c>
    </row>
    <row r="73">
      <c r="B73" s="38" t="inlineStr">
        <is>
          <t>Gross margin — homebuilding only (%)</t>
        </is>
      </c>
      <c r="C73" s="16">
        <f>1-C45/(C17+C18)</f>
        <v/>
      </c>
      <c r="D73" s="16">
        <f>1-D45/(D17+D18)</f>
        <v/>
      </c>
      <c r="E73" s="16">
        <f>1-E45/(E17+E18)</f>
        <v/>
      </c>
    </row>
    <row r="74">
      <c r="B74" s="49" t="inlineStr">
        <is>
          <t>Gross margin — as reported (%)</t>
        </is>
      </c>
      <c r="C74" s="34">
        <f>1-C45/C20</f>
        <v/>
      </c>
      <c r="D74" s="34">
        <f>1-D45/D20</f>
        <v/>
      </c>
      <c r="E74" s="34">
        <f>1-E45/E20</f>
        <v/>
      </c>
      <c r="L74" s="9" t="inlineStr">
        <is>
          <t>NOTE: MHO reports gross margin on TOTAL revenue, which includes zero-cost financial services revenue. That flatters the headline by ~200bp. Use the homebuilding line above for like-for-like work.</t>
        </is>
      </c>
    </row>
    <row r="75">
      <c r="B75" s="38" t="inlineStr">
        <is>
          <t>Operating margin — Northern (%)</t>
        </is>
      </c>
      <c r="C75" s="16">
        <f>C31/C17</f>
        <v/>
      </c>
      <c r="D75" s="16">
        <f>D31/D17</f>
        <v/>
      </c>
      <c r="E75" s="16">
        <f>E31/E17</f>
        <v/>
      </c>
    </row>
    <row r="76">
      <c r="B76" s="49" t="inlineStr">
        <is>
          <t>Operating margin — Southern (%)</t>
        </is>
      </c>
      <c r="C76" s="34">
        <f>C32/C18</f>
        <v/>
      </c>
      <c r="D76" s="34">
        <f>D32/D18</f>
        <v/>
      </c>
      <c r="E76" s="34">
        <f>E32/E18</f>
        <v/>
      </c>
      <c r="L76" s="9" t="inlineStr">
        <is>
          <t>18.2% → 18.1% → 10.4%, while Northern went 11.6% → 14.8% → 14.7%.</t>
        </is>
      </c>
    </row>
    <row r="77">
      <c r="B77" s="38" t="inlineStr">
        <is>
          <t>Southern share of deliveries (%)</t>
        </is>
      </c>
      <c r="C77" s="16">
        <f>C9/C10</f>
        <v/>
      </c>
      <c r="D77" s="16">
        <f>D9/D10</f>
        <v/>
      </c>
      <c r="E77" s="16">
        <f>E9/E10</f>
        <v/>
      </c>
    </row>
    <row r="78">
      <c r="B78" s="49" t="inlineStr">
        <is>
          <t>Southern share of segment operating income (%)</t>
        </is>
      </c>
      <c r="C78" s="34">
        <f>C32/(C31+C32)</f>
        <v/>
      </c>
      <c r="D78" s="34">
        <f>D32/(D31+D32)</f>
        <v/>
      </c>
      <c r="E78" s="34">
        <f>E32/(E31+E32)</f>
        <v/>
      </c>
      <c r="L78" s="9" t="inlineStr">
        <is>
          <t>71% → 47%. The growth region stopped carrying the P&amp;L.</t>
        </is>
      </c>
    </row>
    <row r="79">
      <c r="B79" s="38" t="inlineStr">
        <is>
          <t>Return on equity (%)</t>
        </is>
      </c>
      <c r="C79" s="16">
        <f>C48/C59</f>
        <v/>
      </c>
      <c r="D79" s="16">
        <f>D48/D59</f>
        <v/>
      </c>
      <c r="E79" s="16">
        <f>E48/E59</f>
        <v/>
      </c>
      <c r="L79" s="9" t="inlineStr">
        <is>
          <t>18.5% → 19.2% → 12.7%.</t>
        </is>
      </c>
    </row>
    <row r="80">
      <c r="B80" s="38" t="inlineStr">
        <is>
          <t>Book value per share ($)</t>
        </is>
      </c>
      <c r="C80" s="50">
        <f>C59/C51</f>
        <v/>
      </c>
      <c r="D80" s="50">
        <f>D59/D51</f>
        <v/>
      </c>
      <c r="E80" s="50">
        <f>E59/E51</f>
        <v/>
      </c>
    </row>
  </sheetData>
  <pageMargins left="0.75" right="0.75" top="1" bottom="1" header="0.5" footer="0.5"/>
</worksheet>
</file>

<file path=xl/worksheets/sheet5.xml><?xml version="1.0" encoding="utf-8"?>
<worksheet xmlns="http://schemas.openxmlformats.org/spreadsheetml/2006/main">
  <sheetPr>
    <tabColor rgb="004A6B8A"/>
    <outlinePr summaryBelow="1" summaryRight="1"/>
    <pageSetUpPr/>
  </sheetPr>
  <dimension ref="B2:L43"/>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Segment Build — deliveries x ASP, and the incentive bridge to gross margin</t>
        </is>
      </c>
    </row>
    <row r="3">
      <c r="B3" s="2" t="inlineStr">
        <is>
          <t>Revenue is built region by region, never off a blended growth rate. Gross margin falls out of the arithmetic: incentives cut the price, costs do not move, so the margin is the residual.</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NORTHERN HOMEBUILDING   —   Columbus, Cincinnati, Indianapolis, Chicago, Minneapolis, Detroit</t>
        </is>
      </c>
      <c r="C7" s="3" t="n"/>
      <c r="D7" s="3" t="n"/>
      <c r="E7" s="3" t="n"/>
      <c r="F7" s="3" t="n"/>
      <c r="G7" s="3" t="n"/>
      <c r="H7" s="3" t="n"/>
      <c r="I7" s="3" t="n"/>
      <c r="J7" s="3" t="n"/>
    </row>
    <row r="8">
      <c r="B8" s="38" t="inlineStr">
        <is>
          <t>Homes delivered</t>
        </is>
      </c>
      <c r="C8" s="51">
        <f>Historicals!C8</f>
        <v/>
      </c>
      <c r="D8" s="51">
        <f>Historicals!D8</f>
        <v/>
      </c>
      <c r="E8" s="51">
        <f>Historicals!E8</f>
        <v/>
      </c>
      <c r="F8" s="13">
        <f>E8*(1+Assumptions!F22/100)</f>
        <v/>
      </c>
      <c r="G8" s="13">
        <f>F8*(1+Assumptions!G22/100)</f>
        <v/>
      </c>
      <c r="H8" s="13">
        <f>G8*(1+Assumptions!H22/100)</f>
        <v/>
      </c>
      <c r="I8" s="13">
        <f>H8*(1+Assumptions!I22/100)</f>
        <v/>
      </c>
      <c r="J8" s="13">
        <f>I8*(1+Assumptions!J22/100)</f>
        <v/>
      </c>
    </row>
    <row r="9">
      <c r="B9" s="38" t="inlineStr">
        <is>
          <t>Gross ASP — list price before incentives ($000)</t>
        </is>
      </c>
      <c r="C9" s="48">
        <f>C11/(1-C10/100)</f>
        <v/>
      </c>
      <c r="D9" s="48">
        <f>D11/(1-D10/100)</f>
        <v/>
      </c>
      <c r="E9" s="48">
        <f>E11/(1-E10/100)</f>
        <v/>
      </c>
      <c r="F9" s="48">
        <f>E9*(1+Assumptions!F24/100)</f>
        <v/>
      </c>
      <c r="G9" s="48">
        <f>F9*(1+Assumptions!G24/100)</f>
        <v/>
      </c>
      <c r="H9" s="48">
        <f>G9*(1+Assumptions!H24/100)</f>
        <v/>
      </c>
      <c r="I9" s="48">
        <f>H9*(1+Assumptions!I24/100)</f>
        <v/>
      </c>
      <c r="J9" s="48">
        <f>I9*(1+Assumptions!J24/100)</f>
        <v/>
      </c>
    </row>
    <row r="10">
      <c r="B10" s="38" t="inlineStr">
        <is>
          <t>Incentive load (% of gross ASP)</t>
        </is>
      </c>
      <c r="C10" s="52">
        <f>Assumptions!$C$14+Assumptions!$C$15*MAX(0,Assumptions!C8-Assumptions!$C$9)+Assumptions!C16</f>
        <v/>
      </c>
      <c r="D10" s="52">
        <f>Assumptions!$C$14+Assumptions!$C$15*MAX(0,Assumptions!D8-Assumptions!$C$9)+Assumptions!D16</f>
        <v/>
      </c>
      <c r="E10" s="52">
        <f>Assumptions!$C$14+Assumptions!$C$15*MAX(0,Assumptions!E8-Assumptions!$C$9)+Assumptions!E16</f>
        <v/>
      </c>
      <c r="F10" s="52">
        <f>Assumptions!$C$14+Assumptions!$C$15*MAX(0,Assumptions!F8-Assumptions!$C$9)+Assumptions!F16</f>
        <v/>
      </c>
      <c r="G10" s="52">
        <f>Assumptions!$C$14+Assumptions!$C$15*MAX(0,Assumptions!G8-Assumptions!$C$9)+Assumptions!G16</f>
        <v/>
      </c>
      <c r="H10" s="52">
        <f>Assumptions!$C$14+Assumptions!$C$15*MAX(0,Assumptions!H8-Assumptions!$C$9)+Assumptions!H16</f>
        <v/>
      </c>
      <c r="I10" s="52">
        <f>Assumptions!$C$14+Assumptions!$C$15*MAX(0,Assumptions!I8-Assumptions!$C$9)+Assumptions!I16</f>
        <v/>
      </c>
      <c r="J10" s="52">
        <f>Assumptions!$C$14+Assumptions!$C$15*MAX(0,Assumptions!J8-Assumptions!$C$9)+Assumptions!J16</f>
        <v/>
      </c>
      <c r="L10" s="9" t="inlineStr">
        <is>
          <t>Rate-driven only through 2025.</t>
        </is>
      </c>
    </row>
    <row r="11">
      <c r="B11" s="49" t="inlineStr">
        <is>
          <t>Net ASP — realised ($000)</t>
        </is>
      </c>
      <c r="C11" s="53">
        <f>(Historicals!C17-Historicals!C21*(1-Assumptions!$C$38/100))/C8</f>
        <v/>
      </c>
      <c r="D11" s="53">
        <f>(Historicals!D17-Historicals!D21*(1-Assumptions!$C$38/100))/D8</f>
        <v/>
      </c>
      <c r="E11" s="53">
        <f>(Historicals!E17-Historicals!E21*(1-Assumptions!$C$38/100))/E8</f>
        <v/>
      </c>
      <c r="F11" s="54">
        <f>F9*(1-F10/100)</f>
        <v/>
      </c>
      <c r="G11" s="54">
        <f>G9*(1-G10/100)</f>
        <v/>
      </c>
      <c r="H11" s="54">
        <f>H9*(1-H10/100)</f>
        <v/>
      </c>
      <c r="I11" s="54">
        <f>I9*(1-I10/100)</f>
        <v/>
      </c>
      <c r="J11" s="54">
        <f>J9*(1-J10/100)</f>
        <v/>
      </c>
    </row>
    <row r="12">
      <c r="B12" s="38" t="inlineStr">
        <is>
          <t>Cost per home, ex-charges ($000)</t>
        </is>
      </c>
      <c r="C12" s="55">
        <f>(Historicals!C25-Historicals!C27-(Historicals!C21-Historicals!C22)*(1-Assumptions!$C$38/100))/C8</f>
        <v/>
      </c>
      <c r="D12" s="55">
        <f>(Historicals!D25-Historicals!D27-(Historicals!D21-Historicals!D22)*(1-Assumptions!$C$38/100))/D8</f>
        <v/>
      </c>
      <c r="E12" s="55">
        <f>(Historicals!E25-Historicals!E27-(Historicals!E21-Historicals!E22)*(1-Assumptions!$C$38/100))/E8</f>
        <v/>
      </c>
      <c r="F12" s="48">
        <f>E12*(1+Assumptions!F26/100)</f>
        <v/>
      </c>
      <c r="G12" s="48">
        <f>F12*(1+Assumptions!G26/100)</f>
        <v/>
      </c>
      <c r="H12" s="48">
        <f>G12*(1+Assumptions!H26/100)</f>
        <v/>
      </c>
      <c r="I12" s="48">
        <f>H12*(1+Assumptions!I26/100)</f>
        <v/>
      </c>
      <c r="J12" s="48">
        <f>I12*(1+Assumptions!J26/100)</f>
        <v/>
      </c>
    </row>
    <row r="13">
      <c r="B13" s="38" t="inlineStr">
        <is>
          <t>Gross profit per home ($000)</t>
        </is>
      </c>
      <c r="C13" s="48">
        <f>C11-C12</f>
        <v/>
      </c>
      <c r="D13" s="48">
        <f>D11-D12</f>
        <v/>
      </c>
      <c r="E13" s="48">
        <f>E11-E12</f>
        <v/>
      </c>
      <c r="F13" s="48">
        <f>F11-F12</f>
        <v/>
      </c>
      <c r="G13" s="48">
        <f>G11-G12</f>
        <v/>
      </c>
      <c r="H13" s="48">
        <f>H11-H12</f>
        <v/>
      </c>
      <c r="I13" s="48">
        <f>I11-I12</f>
        <v/>
      </c>
      <c r="J13" s="48">
        <f>J11-J12</f>
        <v/>
      </c>
    </row>
    <row r="14">
      <c r="B14" s="49" t="inlineStr">
        <is>
          <t>Gross margin, ex-charges (%)</t>
        </is>
      </c>
      <c r="C14" s="34">
        <f>1-C12/C11</f>
        <v/>
      </c>
      <c r="D14" s="34">
        <f>1-D12/D11</f>
        <v/>
      </c>
      <c r="E14" s="34">
        <f>1-E12/E11</f>
        <v/>
      </c>
      <c r="F14" s="34">
        <f>1-F12/F11</f>
        <v/>
      </c>
      <c r="G14" s="34">
        <f>1-G12/G11</f>
        <v/>
      </c>
      <c r="H14" s="34">
        <f>1-H12/H11</f>
        <v/>
      </c>
      <c r="I14" s="34">
        <f>1-I12/I11</f>
        <v/>
      </c>
      <c r="J14" s="34">
        <f>1-J12/J11</f>
        <v/>
      </c>
    </row>
    <row r="15">
      <c r="B15" s="44" t="inlineStr">
        <is>
          <t>Housing revenue</t>
        </is>
      </c>
      <c r="C15" s="45">
        <f>C8*C11</f>
        <v/>
      </c>
      <c r="D15" s="45">
        <f>D8*D11</f>
        <v/>
      </c>
      <c r="E15" s="45">
        <f>E8*E11</f>
        <v/>
      </c>
      <c r="F15" s="45">
        <f>F8*F11</f>
        <v/>
      </c>
      <c r="G15" s="45">
        <f>G8*G11</f>
        <v/>
      </c>
      <c r="H15" s="45">
        <f>H8*H11</f>
        <v/>
      </c>
      <c r="I15" s="45">
        <f>I8*I11</f>
        <v/>
      </c>
      <c r="J15" s="45">
        <f>J8*J11</f>
        <v/>
      </c>
    </row>
    <row r="16" ht="6" customHeight="1"/>
    <row r="17" ht="15.5" customHeight="1">
      <c r="B17" s="3" t="inlineStr">
        <is>
          <t>SOUTHERN HOMEBUILDING   —   Tampa, Orlando, Sarasota, Fort Myers, CHARLOTTE, RALEIGH, Houston, San Antonio, Austin, Dallas, Nashville</t>
        </is>
      </c>
      <c r="C17" s="3" t="n"/>
      <c r="D17" s="3" t="n"/>
      <c r="E17" s="3" t="n"/>
      <c r="F17" s="3" t="n"/>
      <c r="G17" s="3" t="n"/>
      <c r="H17" s="3" t="n"/>
      <c r="I17" s="3" t="n"/>
      <c r="J17" s="3" t="n"/>
    </row>
    <row r="18">
      <c r="B18" s="38" t="inlineStr">
        <is>
          <t>Homes delivered</t>
        </is>
      </c>
      <c r="C18" s="51">
        <f>Historicals!C9</f>
        <v/>
      </c>
      <c r="D18" s="51">
        <f>Historicals!D9</f>
        <v/>
      </c>
      <c r="E18" s="51">
        <f>Historicals!E9</f>
        <v/>
      </c>
      <c r="F18" s="13">
        <f>E18*(1+Assumptions!F23/100)</f>
        <v/>
      </c>
      <c r="G18" s="13">
        <f>F18*(1+Assumptions!G23/100)</f>
        <v/>
      </c>
      <c r="H18" s="13">
        <f>G18*(1+Assumptions!H23/100)</f>
        <v/>
      </c>
      <c r="I18" s="13">
        <f>H18*(1+Assumptions!I23/100)</f>
        <v/>
      </c>
      <c r="J18" s="13">
        <f>I18*(1+Assumptions!J23/100)</f>
        <v/>
      </c>
    </row>
    <row r="19">
      <c r="B19" s="38" t="inlineStr">
        <is>
          <t>Gross ASP — list price before incentives ($000)</t>
        </is>
      </c>
      <c r="C19" s="48">
        <f>C21/(1-C20/100)</f>
        <v/>
      </c>
      <c r="D19" s="48">
        <f>D21/(1-D20/100)</f>
        <v/>
      </c>
      <c r="E19" s="48">
        <f>E21/(1-E20/100)</f>
        <v/>
      </c>
      <c r="F19" s="48">
        <f>E19*(1+Assumptions!F25/100)</f>
        <v/>
      </c>
      <c r="G19" s="48">
        <f>F19*(1+Assumptions!G25/100)</f>
        <v/>
      </c>
      <c r="H19" s="48">
        <f>G19*(1+Assumptions!H25/100)</f>
        <v/>
      </c>
      <c r="I19" s="48">
        <f>H19*(1+Assumptions!I25/100)</f>
        <v/>
      </c>
      <c r="J19" s="48">
        <f>I19*(1+Assumptions!J25/100)</f>
        <v/>
      </c>
    </row>
    <row r="20">
      <c r="B20" s="38" t="inlineStr">
        <is>
          <t>Incentive load (% of gross ASP)</t>
        </is>
      </c>
      <c r="C20" s="52">
        <f>Assumptions!$C$17+Assumptions!$C$18*MAX(0,Assumptions!C8-Assumptions!$C$9)+Assumptions!C19</f>
        <v/>
      </c>
      <c r="D20" s="52">
        <f>Assumptions!$C$17+Assumptions!$C$18*MAX(0,Assumptions!D8-Assumptions!$C$9)+Assumptions!D19</f>
        <v/>
      </c>
      <c r="E20" s="52">
        <f>Assumptions!$C$17+Assumptions!$C$18*MAX(0,Assumptions!E8-Assumptions!$C$9)+Assumptions!E19</f>
        <v/>
      </c>
      <c r="F20" s="52">
        <f>Assumptions!$C$17+Assumptions!$C$18*MAX(0,Assumptions!F8-Assumptions!$C$9)+Assumptions!F19</f>
        <v/>
      </c>
      <c r="G20" s="52">
        <f>Assumptions!$C$17+Assumptions!$C$18*MAX(0,Assumptions!G8-Assumptions!$C$9)+Assumptions!G19</f>
        <v/>
      </c>
      <c r="H20" s="52">
        <f>Assumptions!$C$17+Assumptions!$C$18*MAX(0,Assumptions!H8-Assumptions!$C$9)+Assumptions!H19</f>
        <v/>
      </c>
      <c r="I20" s="52">
        <f>Assumptions!$C$17+Assumptions!$C$18*MAX(0,Assumptions!I8-Assumptions!$C$9)+Assumptions!I19</f>
        <v/>
      </c>
      <c r="J20" s="52">
        <f>Assumptions!$C$17+Assumptions!$C$18*MAX(0,Assumptions!J8-Assumptions!$C$9)+Assumptions!J19</f>
        <v/>
      </c>
      <c r="L20" s="9" t="inlineStr">
        <is>
          <t>Base + rate slope + competition premium. In 2025 the rate term contributed 1.31pp and competition 2.04pp, on a base of 2.05pp.</t>
        </is>
      </c>
    </row>
    <row r="21">
      <c r="B21" s="49" t="inlineStr">
        <is>
          <t>Net ASP — realised ($000)</t>
        </is>
      </c>
      <c r="C21" s="53">
        <f>(Historicals!C18-Historicals!C21*Assumptions!$C$38/100)/C18</f>
        <v/>
      </c>
      <c r="D21" s="53">
        <f>(Historicals!D18-Historicals!D21*Assumptions!$C$38/100)/D18</f>
        <v/>
      </c>
      <c r="E21" s="53">
        <f>(Historicals!E18-Historicals!E21*Assumptions!$C$38/100)/E18</f>
        <v/>
      </c>
      <c r="F21" s="54">
        <f>F19*(1-F20/100)</f>
        <v/>
      </c>
      <c r="G21" s="54">
        <f>G19*(1-G20/100)</f>
        <v/>
      </c>
      <c r="H21" s="54">
        <f>H19*(1-H20/100)</f>
        <v/>
      </c>
      <c r="I21" s="54">
        <f>I19*(1-I20/100)</f>
        <v/>
      </c>
      <c r="J21" s="54">
        <f>J19*(1-J20/100)</f>
        <v/>
      </c>
    </row>
    <row r="22">
      <c r="B22" s="38" t="inlineStr">
        <is>
          <t>Cost per home, ex-charges ($000)</t>
        </is>
      </c>
      <c r="C22" s="55">
        <f>(Historicals!C26-Historicals!C28-(Historicals!C21-Historicals!C22)*Assumptions!$C$38/100)/C18</f>
        <v/>
      </c>
      <c r="D22" s="55">
        <f>(Historicals!D26-Historicals!D28-(Historicals!D21-Historicals!D22)*Assumptions!$C$38/100)/D18</f>
        <v/>
      </c>
      <c r="E22" s="55">
        <f>(Historicals!E26-Historicals!E28-(Historicals!E21-Historicals!E22)*Assumptions!$C$38/100)/E18</f>
        <v/>
      </c>
      <c r="F22" s="48">
        <f>E22*(1+Assumptions!F27/100)</f>
        <v/>
      </c>
      <c r="G22" s="48">
        <f>F22*(1+Assumptions!G27/100)</f>
        <v/>
      </c>
      <c r="H22" s="48">
        <f>G22*(1+Assumptions!H27/100)</f>
        <v/>
      </c>
      <c r="I22" s="48">
        <f>H22*(1+Assumptions!I27/100)</f>
        <v/>
      </c>
      <c r="J22" s="48">
        <f>I22*(1+Assumptions!J27/100)</f>
        <v/>
      </c>
    </row>
    <row r="23">
      <c r="B23" s="38" t="inlineStr">
        <is>
          <t>Gross profit per home ($000)</t>
        </is>
      </c>
      <c r="C23" s="48">
        <f>C21-C22</f>
        <v/>
      </c>
      <c r="D23" s="48">
        <f>D21-D22</f>
        <v/>
      </c>
      <c r="E23" s="48">
        <f>E21-E22</f>
        <v/>
      </c>
      <c r="F23" s="48">
        <f>F21-F22</f>
        <v/>
      </c>
      <c r="G23" s="48">
        <f>G21-G22</f>
        <v/>
      </c>
      <c r="H23" s="48">
        <f>H21-H22</f>
        <v/>
      </c>
      <c r="I23" s="48">
        <f>I21-I22</f>
        <v/>
      </c>
      <c r="J23" s="48">
        <f>J21-J22</f>
        <v/>
      </c>
    </row>
    <row r="24">
      <c r="B24" s="49" t="inlineStr">
        <is>
          <t>Gross margin, ex-charges (%)</t>
        </is>
      </c>
      <c r="C24" s="34">
        <f>1-C22/C21</f>
        <v/>
      </c>
      <c r="D24" s="34">
        <f>1-D22/D21</f>
        <v/>
      </c>
      <c r="E24" s="34">
        <f>1-E22/E21</f>
        <v/>
      </c>
      <c r="F24" s="34">
        <f>1-F22/F21</f>
        <v/>
      </c>
      <c r="G24" s="34">
        <f>1-G22/G21</f>
        <v/>
      </c>
      <c r="H24" s="34">
        <f>1-H22/H21</f>
        <v/>
      </c>
      <c r="I24" s="34">
        <f>1-I22/I21</f>
        <v/>
      </c>
      <c r="J24" s="34">
        <f>1-J22/J21</f>
        <v/>
      </c>
    </row>
    <row r="25">
      <c r="B25" s="44" t="inlineStr">
        <is>
          <t>Housing revenue</t>
        </is>
      </c>
      <c r="C25" s="45">
        <f>C18*C21</f>
        <v/>
      </c>
      <c r="D25" s="45">
        <f>D18*D21</f>
        <v/>
      </c>
      <c r="E25" s="45">
        <f>E18*E21</f>
        <v/>
      </c>
      <c r="F25" s="45">
        <f>F18*F21</f>
        <v/>
      </c>
      <c r="G25" s="45">
        <f>G18*G21</f>
        <v/>
      </c>
      <c r="H25" s="45">
        <f>H18*H21</f>
        <v/>
      </c>
      <c r="I25" s="45">
        <f>I18*I21</f>
        <v/>
      </c>
      <c r="J25" s="45">
        <f>J18*J21</f>
        <v/>
      </c>
    </row>
    <row r="26" ht="6" customHeight="1"/>
    <row r="27" ht="15.5" customHeight="1">
      <c r="B27" s="3" t="inlineStr">
        <is>
          <t>LAND SALES AND FINANCIAL SERVICES</t>
        </is>
      </c>
      <c r="C27" s="3" t="n"/>
      <c r="D27" s="3" t="n"/>
      <c r="E27" s="3" t="n"/>
      <c r="F27" s="3" t="n"/>
      <c r="G27" s="3" t="n"/>
      <c r="H27" s="3" t="n"/>
      <c r="I27" s="3" t="n"/>
      <c r="J27" s="3" t="n"/>
    </row>
    <row r="28">
      <c r="B28" s="38" t="inlineStr">
        <is>
          <t>Land sale revenue</t>
        </is>
      </c>
      <c r="C28" s="13">
        <f>Historicals!C17+Historicals!C18-C15-C25</f>
        <v/>
      </c>
      <c r="D28" s="13">
        <f>Historicals!D17+Historicals!D18-D15-D25</f>
        <v/>
      </c>
      <c r="E28" s="13">
        <f>Historicals!E17+Historicals!E18-E15-E25</f>
        <v/>
      </c>
      <c r="F28" s="51">
        <f>Assumptions!F30</f>
        <v/>
      </c>
      <c r="G28" s="51">
        <f>Assumptions!G30</f>
        <v/>
      </c>
      <c r="H28" s="51">
        <f>Assumptions!H30</f>
        <v/>
      </c>
      <c r="I28" s="51">
        <f>Assumptions!I30</f>
        <v/>
      </c>
      <c r="J28" s="51">
        <f>Assumptions!J30</f>
        <v/>
      </c>
    </row>
    <row r="29">
      <c r="B29" s="38" t="inlineStr">
        <is>
          <t>Financial services revenue</t>
        </is>
      </c>
      <c r="C29" s="13">
        <f>Historicals!C19</f>
        <v/>
      </c>
      <c r="D29" s="13">
        <f>Historicals!D19</f>
        <v/>
      </c>
      <c r="E29" s="13">
        <f>Historicals!E19</f>
        <v/>
      </c>
      <c r="F29" s="13">
        <f>E29*(1+Assumptions!F31/100)</f>
        <v/>
      </c>
      <c r="G29" s="13">
        <f>F29*(1+Assumptions!G31/100)</f>
        <v/>
      </c>
      <c r="H29" s="13">
        <f>G29*(1+Assumptions!H31/100)</f>
        <v/>
      </c>
      <c r="I29" s="13">
        <f>H29*(1+Assumptions!I31/100)</f>
        <v/>
      </c>
      <c r="J29" s="13">
        <f>I29*(1+Assumptions!J31/100)</f>
        <v/>
      </c>
    </row>
    <row r="30" ht="6" customHeight="1"/>
    <row r="31" ht="15.5" customHeight="1">
      <c r="B31" s="3" t="inlineStr">
        <is>
          <t>BUILD-UP TO CONSOLIDATED REVENUE AND COST</t>
        </is>
      </c>
      <c r="C31" s="3" t="n"/>
      <c r="D31" s="3" t="n"/>
      <c r="E31" s="3" t="n"/>
      <c r="F31" s="3" t="n"/>
      <c r="G31" s="3" t="n"/>
      <c r="H31" s="3" t="n"/>
      <c r="I31" s="3" t="n"/>
      <c r="J31" s="3" t="n"/>
    </row>
    <row r="32">
      <c r="B32" s="38" t="inlineStr">
        <is>
          <t>Northern segment revenue</t>
        </is>
      </c>
      <c r="C32" s="13">
        <f>Historicals!C17</f>
        <v/>
      </c>
      <c r="D32" s="13">
        <f>Historicals!D17</f>
        <v/>
      </c>
      <c r="E32" s="13">
        <f>Historicals!E17</f>
        <v/>
      </c>
      <c r="F32" s="13">
        <f>F15+F28*(1-Assumptions!$C$38/100)</f>
        <v/>
      </c>
      <c r="G32" s="13">
        <f>G15+G28*(1-Assumptions!$C$38/100)</f>
        <v/>
      </c>
      <c r="H32" s="13">
        <f>H15+H28*(1-Assumptions!$C$38/100)</f>
        <v/>
      </c>
      <c r="I32" s="13">
        <f>I15+I28*(1-Assumptions!$C$38/100)</f>
        <v/>
      </c>
      <c r="J32" s="13">
        <f>J15+J28*(1-Assumptions!$C$38/100)</f>
        <v/>
      </c>
    </row>
    <row r="33">
      <c r="B33" s="38" t="inlineStr">
        <is>
          <t>Southern segment revenue</t>
        </is>
      </c>
      <c r="C33" s="13">
        <f>Historicals!C18</f>
        <v/>
      </c>
      <c r="D33" s="13">
        <f>Historicals!D18</f>
        <v/>
      </c>
      <c r="E33" s="13">
        <f>Historicals!E18</f>
        <v/>
      </c>
      <c r="F33" s="13">
        <f>F25+F28*Assumptions!$C$38/100</f>
        <v/>
      </c>
      <c r="G33" s="13">
        <f>G25+G28*Assumptions!$C$38/100</f>
        <v/>
      </c>
      <c r="H33" s="13">
        <f>H25+H28*Assumptions!$C$38/100</f>
        <v/>
      </c>
      <c r="I33" s="13">
        <f>I25+I28*Assumptions!$C$38/100</f>
        <v/>
      </c>
      <c r="J33" s="13">
        <f>J25+J28*Assumptions!$C$38/100</f>
        <v/>
      </c>
    </row>
    <row r="34">
      <c r="B34" s="44" t="inlineStr">
        <is>
          <t>Total homebuilding revenue</t>
        </is>
      </c>
      <c r="C34" s="45">
        <f>C32+C33</f>
        <v/>
      </c>
      <c r="D34" s="45">
        <f>D32+D33</f>
        <v/>
      </c>
      <c r="E34" s="45">
        <f>E32+E33</f>
        <v/>
      </c>
      <c r="F34" s="45">
        <f>F32+F33</f>
        <v/>
      </c>
      <c r="G34" s="45">
        <f>G32+G33</f>
        <v/>
      </c>
      <c r="H34" s="45">
        <f>H32+H33</f>
        <v/>
      </c>
      <c r="I34" s="45">
        <f>I32+I33</f>
        <v/>
      </c>
      <c r="J34" s="45">
        <f>J32+J33</f>
        <v/>
      </c>
    </row>
    <row r="35">
      <c r="B35" s="44" t="inlineStr">
        <is>
          <t>Total revenue</t>
        </is>
      </c>
      <c r="C35" s="45">
        <f>C34+C29</f>
        <v/>
      </c>
      <c r="D35" s="45">
        <f>D34+D29</f>
        <v/>
      </c>
      <c r="E35" s="45">
        <f>E34+E29</f>
        <v/>
      </c>
      <c r="F35" s="45">
        <f>F34+F29</f>
        <v/>
      </c>
      <c r="G35" s="45">
        <f>G34+G29</f>
        <v/>
      </c>
      <c r="H35" s="45">
        <f>H34+H29</f>
        <v/>
      </c>
      <c r="I35" s="45">
        <f>I34+I29</f>
        <v/>
      </c>
      <c r="J35" s="45">
        <f>J34+J29</f>
        <v/>
      </c>
    </row>
    <row r="36" ht="6" customHeight="1"/>
    <row r="37">
      <c r="B37" s="38" t="inlineStr">
        <is>
          <t>Land and housing costs</t>
        </is>
      </c>
      <c r="C37" s="13">
        <f>Historicals!C45</f>
        <v/>
      </c>
      <c r="D37" s="13">
        <f>Historicals!D45</f>
        <v/>
      </c>
      <c r="E37" s="13">
        <f>Historicals!E45</f>
        <v/>
      </c>
      <c r="F37" s="13">
        <f>F8*F12+F18*F22+F28*(1-Assumptions!$C$37/100)+Assumptions!F35</f>
        <v/>
      </c>
      <c r="G37" s="13">
        <f>G8*G12+G18*G22+G28*(1-Assumptions!$C$37/100)+Assumptions!G35</f>
        <v/>
      </c>
      <c r="H37" s="13">
        <f>H8*H12+H18*H22+H28*(1-Assumptions!$C$37/100)+Assumptions!H35</f>
        <v/>
      </c>
      <c r="I37" s="13">
        <f>I8*I12+I18*I22+I28*(1-Assumptions!$C$37/100)+Assumptions!I35</f>
        <v/>
      </c>
      <c r="J37" s="13">
        <f>J8*J12+J18*J22+J28*(1-Assumptions!$C$37/100)+Assumptions!J35</f>
        <v/>
      </c>
    </row>
    <row r="38">
      <c r="B38" s="49" t="inlineStr">
        <is>
          <t>Gross margin — homebuilding (%)</t>
        </is>
      </c>
      <c r="C38" s="34">
        <f>1-C37/C34</f>
        <v/>
      </c>
      <c r="D38" s="34">
        <f>1-D37/D34</f>
        <v/>
      </c>
      <c r="E38" s="34">
        <f>1-E37/E34</f>
        <v/>
      </c>
      <c r="F38" s="34">
        <f>1-F37/F34</f>
        <v/>
      </c>
      <c r="G38" s="34">
        <f>1-G37/G34</f>
        <v/>
      </c>
      <c r="H38" s="34">
        <f>1-H37/H34</f>
        <v/>
      </c>
      <c r="I38" s="34">
        <f>1-I37/I34</f>
        <v/>
      </c>
      <c r="J38" s="34">
        <f>1-J37/J34</f>
        <v/>
      </c>
    </row>
    <row r="39">
      <c r="B39" s="49" t="inlineStr">
        <is>
          <t>Gross margin — as reported by MHO (%)</t>
        </is>
      </c>
      <c r="C39" s="34">
        <f>1-C37/C35</f>
        <v/>
      </c>
      <c r="D39" s="34">
        <f>1-D37/D35</f>
        <v/>
      </c>
      <c r="E39" s="34">
        <f>1-E37/E35</f>
        <v/>
      </c>
      <c r="F39" s="34">
        <f>1-F37/F35</f>
        <v/>
      </c>
      <c r="G39" s="34">
        <f>1-G37/G35</f>
        <v/>
      </c>
      <c r="H39" s="34">
        <f>1-H37/H35</f>
        <v/>
      </c>
      <c r="I39" s="34">
        <f>1-I37/I35</f>
        <v/>
      </c>
      <c r="J39" s="34">
        <f>1-J37/J35</f>
        <v/>
      </c>
      <c r="L39" s="9" t="inlineStr">
        <is>
          <t>Company convention includes financial services revenue in the denominator.</t>
        </is>
      </c>
    </row>
    <row r="40" ht="6" customHeight="1"/>
    <row r="41" ht="15.5" customHeight="1">
      <c r="B41" s="3" t="inlineStr">
        <is>
          <t>CHECKS  —  must tie to filed figures for 2023–2025</t>
        </is>
      </c>
      <c r="C41" s="3" t="n"/>
      <c r="D41" s="3" t="n"/>
      <c r="E41" s="3" t="n"/>
      <c r="F41" s="3" t="n"/>
      <c r="G41" s="3" t="n"/>
      <c r="H41" s="3" t="n"/>
      <c r="I41" s="3" t="n"/>
      <c r="J41" s="3" t="n"/>
    </row>
    <row r="42">
      <c r="B42" s="38" t="inlineStr">
        <is>
          <t>Total revenue vs 10-K</t>
        </is>
      </c>
      <c r="C42" s="48">
        <f>C35-Historicals!C20</f>
        <v/>
      </c>
      <c r="D42" s="48">
        <f>D35-Historicals!D20</f>
        <v/>
      </c>
      <c r="E42" s="48">
        <f>E35-Historicals!E20</f>
        <v/>
      </c>
    </row>
    <row r="43">
      <c r="B43" s="38" t="inlineStr">
        <is>
          <t>Deliveries vs press release</t>
        </is>
      </c>
      <c r="C43" s="48">
        <f>C8+C18-Historicals!C10</f>
        <v/>
      </c>
      <c r="D43" s="48">
        <f>D8+D18-Historicals!D10</f>
        <v/>
      </c>
      <c r="E43" s="48">
        <f>E8+E18-Historicals!E10</f>
        <v/>
      </c>
    </row>
  </sheetData>
  <pageMargins left="0.75" right="0.75" top="1" bottom="1" header="0.5" footer="0.5"/>
</worksheet>
</file>

<file path=xl/worksheets/sheet6.xml><?xml version="1.0" encoding="utf-8"?>
<worksheet xmlns="http://schemas.openxmlformats.org/spreadsheetml/2006/main">
  <sheetPr>
    <tabColor rgb="002E5A7A"/>
    <outlinePr summaryBelow="1" summaryRight="1"/>
    <pageSetUpPr/>
  </sheetPr>
  <dimension ref="B2:L45"/>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Income Statement</t>
        </is>
      </c>
    </row>
    <row r="3">
      <c r="B3" s="2" t="inlineStr">
        <is>
          <t>$ in thousands except per-share amounts. 2023–2025 as filed; 2026E–2030E driven off Segment Build and Assumptions.</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REVENUE</t>
        </is>
      </c>
      <c r="C7" s="3" t="n"/>
      <c r="D7" s="3" t="n"/>
      <c r="E7" s="3" t="n"/>
      <c r="F7" s="3" t="n"/>
      <c r="G7" s="3" t="n"/>
      <c r="H7" s="3" t="n"/>
      <c r="I7" s="3" t="n"/>
      <c r="J7" s="3" t="n"/>
    </row>
    <row r="8">
      <c r="B8" s="38" t="inlineStr">
        <is>
          <t>Northern homebuilding</t>
        </is>
      </c>
      <c r="C8" s="51">
        <f>'Segment Build'!C32</f>
        <v/>
      </c>
      <c r="D8" s="51">
        <f>'Segment Build'!D32</f>
        <v/>
      </c>
      <c r="E8" s="51">
        <f>'Segment Build'!E32</f>
        <v/>
      </c>
      <c r="F8" s="51">
        <f>'Segment Build'!F32</f>
        <v/>
      </c>
      <c r="G8" s="51">
        <f>'Segment Build'!G32</f>
        <v/>
      </c>
      <c r="H8" s="51">
        <f>'Segment Build'!H32</f>
        <v/>
      </c>
      <c r="I8" s="51">
        <f>'Segment Build'!I32</f>
        <v/>
      </c>
      <c r="J8" s="51">
        <f>'Segment Build'!J32</f>
        <v/>
      </c>
    </row>
    <row r="9">
      <c r="B9" s="38" t="inlineStr">
        <is>
          <t>Southern homebuilding</t>
        </is>
      </c>
      <c r="C9" s="51">
        <f>'Segment Build'!C33</f>
        <v/>
      </c>
      <c r="D9" s="51">
        <f>'Segment Build'!D33</f>
        <v/>
      </c>
      <c r="E9" s="51">
        <f>'Segment Build'!E33</f>
        <v/>
      </c>
      <c r="F9" s="51">
        <f>'Segment Build'!F33</f>
        <v/>
      </c>
      <c r="G9" s="51">
        <f>'Segment Build'!G33</f>
        <v/>
      </c>
      <c r="H9" s="51">
        <f>'Segment Build'!H33</f>
        <v/>
      </c>
      <c r="I9" s="51">
        <f>'Segment Build'!I33</f>
        <v/>
      </c>
      <c r="J9" s="51">
        <f>'Segment Build'!J33</f>
        <v/>
      </c>
    </row>
    <row r="10">
      <c r="B10" s="38" t="inlineStr">
        <is>
          <t>Financial services</t>
        </is>
      </c>
      <c r="C10" s="51">
        <f>'Segment Build'!C29</f>
        <v/>
      </c>
      <c r="D10" s="51">
        <f>'Segment Build'!D29</f>
        <v/>
      </c>
      <c r="E10" s="51">
        <f>'Segment Build'!E29</f>
        <v/>
      </c>
      <c r="F10" s="51">
        <f>'Segment Build'!F29</f>
        <v/>
      </c>
      <c r="G10" s="51">
        <f>'Segment Build'!G29</f>
        <v/>
      </c>
      <c r="H10" s="51">
        <f>'Segment Build'!H29</f>
        <v/>
      </c>
      <c r="I10" s="51">
        <f>'Segment Build'!I29</f>
        <v/>
      </c>
      <c r="J10" s="51">
        <f>'Segment Build'!J29</f>
        <v/>
      </c>
    </row>
    <row r="11">
      <c r="B11" s="44" t="inlineStr">
        <is>
          <t>Total revenue</t>
        </is>
      </c>
      <c r="C11" s="45">
        <f>SUM(C8:C10)</f>
        <v/>
      </c>
      <c r="D11" s="45">
        <f>SUM(D8:D10)</f>
        <v/>
      </c>
      <c r="E11" s="45">
        <f>SUM(E8:E10)</f>
        <v/>
      </c>
      <c r="F11" s="45">
        <f>SUM(F8:F10)</f>
        <v/>
      </c>
      <c r="G11" s="45">
        <f>SUM(G8:G10)</f>
        <v/>
      </c>
      <c r="H11" s="45">
        <f>SUM(H8:H10)</f>
        <v/>
      </c>
      <c r="I11" s="45">
        <f>SUM(I8:I10)</f>
        <v/>
      </c>
      <c r="J11" s="45">
        <f>SUM(J8:J10)</f>
        <v/>
      </c>
    </row>
    <row r="12">
      <c r="B12" s="46" t="inlineStr">
        <is>
          <t xml:space="preserve">   growth (%)</t>
        </is>
      </c>
      <c r="D12" s="16">
        <f>D11/C11-1</f>
        <v/>
      </c>
      <c r="E12" s="16">
        <f>E11/D11-1</f>
        <v/>
      </c>
      <c r="F12" s="16">
        <f>F11/E11-1</f>
        <v/>
      </c>
      <c r="G12" s="16">
        <f>G11/F11-1</f>
        <v/>
      </c>
      <c r="H12" s="16">
        <f>H11/G11-1</f>
        <v/>
      </c>
      <c r="I12" s="16">
        <f>I11/H11-1</f>
        <v/>
      </c>
      <c r="J12" s="16">
        <f>J11/I11-1</f>
        <v/>
      </c>
    </row>
    <row r="13" ht="6" customHeight="1"/>
    <row r="14">
      <c r="B14" s="38" t="inlineStr">
        <is>
          <t>Land and housing costs</t>
        </is>
      </c>
      <c r="C14" s="51">
        <f>'Segment Build'!C37</f>
        <v/>
      </c>
      <c r="D14" s="51">
        <f>'Segment Build'!D37</f>
        <v/>
      </c>
      <c r="E14" s="51">
        <f>'Segment Build'!E37</f>
        <v/>
      </c>
      <c r="F14" s="51">
        <f>'Segment Build'!F37</f>
        <v/>
      </c>
      <c r="G14" s="51">
        <f>'Segment Build'!G37</f>
        <v/>
      </c>
      <c r="H14" s="51">
        <f>'Segment Build'!H37</f>
        <v/>
      </c>
      <c r="I14" s="51">
        <f>'Segment Build'!I37</f>
        <v/>
      </c>
      <c r="J14" s="51">
        <f>'Segment Build'!J37</f>
        <v/>
      </c>
    </row>
    <row r="15">
      <c r="B15" s="44" t="inlineStr">
        <is>
          <t>Gross profit</t>
        </is>
      </c>
      <c r="C15" s="45">
        <f>C11-C14</f>
        <v/>
      </c>
      <c r="D15" s="45">
        <f>D11-D14</f>
        <v/>
      </c>
      <c r="E15" s="45">
        <f>E11-E14</f>
        <v/>
      </c>
      <c r="F15" s="45">
        <f>F11-F14</f>
        <v/>
      </c>
      <c r="G15" s="45">
        <f>G11-G14</f>
        <v/>
      </c>
      <c r="H15" s="45">
        <f>H11-H14</f>
        <v/>
      </c>
      <c r="I15" s="45">
        <f>I11-I14</f>
        <v/>
      </c>
      <c r="J15" s="45">
        <f>J11-J14</f>
        <v/>
      </c>
    </row>
    <row r="16">
      <c r="B16" s="56" t="inlineStr">
        <is>
          <t xml:space="preserve">   gross margin — as reported (%)</t>
        </is>
      </c>
      <c r="C16" s="34">
        <f>C15/C11</f>
        <v/>
      </c>
      <c r="D16" s="34">
        <f>D15/D11</f>
        <v/>
      </c>
      <c r="E16" s="34">
        <f>E15/E11</f>
        <v/>
      </c>
      <c r="F16" s="34">
        <f>F15/F11</f>
        <v/>
      </c>
      <c r="G16" s="34">
        <f>G15/G11</f>
        <v/>
      </c>
      <c r="H16" s="34">
        <f>H15/H11</f>
        <v/>
      </c>
      <c r="I16" s="34">
        <f>I15/I11</f>
        <v/>
      </c>
      <c r="J16" s="34">
        <f>J15/J11</f>
        <v/>
      </c>
    </row>
    <row r="17">
      <c r="B17" s="56" t="inlineStr">
        <is>
          <t xml:space="preserve">   gross margin — homebuilding only (%)</t>
        </is>
      </c>
      <c r="C17" s="34">
        <f>1-C14/(C8+C9)</f>
        <v/>
      </c>
      <c r="D17" s="34">
        <f>1-D14/(D8+D9)</f>
        <v/>
      </c>
      <c r="E17" s="34">
        <f>1-E14/(E8+E9)</f>
        <v/>
      </c>
      <c r="F17" s="34">
        <f>1-F14/(F8+F9)</f>
        <v/>
      </c>
      <c r="G17" s="34">
        <f>1-G14/(G8+G9)</f>
        <v/>
      </c>
      <c r="H17" s="34">
        <f>1-H14/(H8+H9)</f>
        <v/>
      </c>
      <c r="I17" s="34">
        <f>1-I14/(I8+I9)</f>
        <v/>
      </c>
      <c r="J17" s="34">
        <f>1-J14/(J8+J9)</f>
        <v/>
      </c>
    </row>
    <row r="18" ht="6" customHeight="1"/>
    <row r="19" ht="15.5" customHeight="1">
      <c r="B19" s="3" t="inlineStr">
        <is>
          <t>OPERATING EXPENSES</t>
        </is>
      </c>
      <c r="C19" s="3" t="n"/>
      <c r="D19" s="3" t="n"/>
      <c r="E19" s="3" t="n"/>
      <c r="F19" s="3" t="n"/>
      <c r="G19" s="3" t="n"/>
      <c r="H19" s="3" t="n"/>
      <c r="I19" s="3" t="n"/>
      <c r="J19" s="3" t="n"/>
    </row>
    <row r="20">
      <c r="B20" s="38" t="inlineStr">
        <is>
          <t>Selling</t>
        </is>
      </c>
      <c r="C20" s="13">
        <f>Historicals!C38+Historicals!C39</f>
        <v/>
      </c>
      <c r="D20" s="13">
        <f>Historicals!D38+Historicals!D39</f>
        <v/>
      </c>
      <c r="E20" s="13">
        <f>Historicals!E38+Historicals!E39</f>
        <v/>
      </c>
      <c r="F20" s="13">
        <f>(F8+F9)*Assumptions!F32/100</f>
        <v/>
      </c>
      <c r="G20" s="13">
        <f>(G8+G9)*Assumptions!G32/100</f>
        <v/>
      </c>
      <c r="H20" s="13">
        <f>(H8+H9)*Assumptions!H32/100</f>
        <v/>
      </c>
      <c r="I20" s="13">
        <f>(I8+I9)*Assumptions!I32/100</f>
        <v/>
      </c>
      <c r="J20" s="13">
        <f>(J8+J9)*Assumptions!J32/100</f>
        <v/>
      </c>
    </row>
    <row r="21">
      <c r="B21" s="38" t="inlineStr">
        <is>
          <t>General and administrative</t>
        </is>
      </c>
      <c r="C21" s="13">
        <f>Historicals!C40+Historicals!C41+Historicals!C42</f>
        <v/>
      </c>
      <c r="D21" s="13">
        <f>Historicals!D40+Historicals!D41+Historicals!D42</f>
        <v/>
      </c>
      <c r="E21" s="13">
        <f>Historicals!E40+Historicals!E41+Historicals!E42</f>
        <v/>
      </c>
      <c r="F21" s="13">
        <f>(F8+F9)*Assumptions!F33/100+F10*(1-Assumptions!$C$39/100)</f>
        <v/>
      </c>
      <c r="G21" s="13">
        <f>(G8+G9)*Assumptions!G33/100+G10*(1-Assumptions!$C$39/100)</f>
        <v/>
      </c>
      <c r="H21" s="13">
        <f>(H8+H9)*Assumptions!H33/100+H10*(1-Assumptions!$C$39/100)</f>
        <v/>
      </c>
      <c r="I21" s="13">
        <f>(I8+I9)*Assumptions!I33/100+I10*(1-Assumptions!$C$39/100)</f>
        <v/>
      </c>
      <c r="J21" s="13">
        <f>(J8+J9)*Assumptions!J33/100+J10*(1-Assumptions!$C$39/100)</f>
        <v/>
      </c>
    </row>
    <row r="22">
      <c r="B22" s="38" t="inlineStr">
        <is>
          <t>Corporate / unallocated</t>
        </is>
      </c>
      <c r="C22" s="13">
        <f>-Historicals!C34</f>
        <v/>
      </c>
      <c r="D22" s="13">
        <f>-Historicals!D34</f>
        <v/>
      </c>
      <c r="E22" s="13">
        <f>-Historicals!E34</f>
        <v/>
      </c>
      <c r="F22" s="13">
        <f>-Assumptions!F34</f>
        <v/>
      </c>
      <c r="G22" s="13">
        <f>-Assumptions!G34</f>
        <v/>
      </c>
      <c r="H22" s="13">
        <f>-Assumptions!H34</f>
        <v/>
      </c>
      <c r="I22" s="13">
        <f>-Assumptions!I34</f>
        <v/>
      </c>
      <c r="J22" s="13">
        <f>-Assumptions!J34</f>
        <v/>
      </c>
    </row>
    <row r="23">
      <c r="B23" s="44" t="inlineStr">
        <is>
          <t>Total operating expenses</t>
        </is>
      </c>
      <c r="C23" s="45">
        <f>SUM(C20:C22)</f>
        <v/>
      </c>
      <c r="D23" s="45">
        <f>SUM(D20:D22)</f>
        <v/>
      </c>
      <c r="E23" s="45">
        <f>SUM(E20:E22)</f>
        <v/>
      </c>
      <c r="F23" s="45">
        <f>SUM(F20:F22)</f>
        <v/>
      </c>
      <c r="G23" s="45">
        <f>SUM(G20:G22)</f>
        <v/>
      </c>
      <c r="H23" s="45">
        <f>SUM(H20:H22)</f>
        <v/>
      </c>
      <c r="I23" s="45">
        <f>SUM(I20:I22)</f>
        <v/>
      </c>
      <c r="J23" s="45">
        <f>SUM(J20:J22)</f>
        <v/>
      </c>
    </row>
    <row r="24">
      <c r="B24" s="46" t="inlineStr">
        <is>
          <t xml:space="preserve">   SG&amp;A as % of total revenue</t>
        </is>
      </c>
      <c r="C24" s="16">
        <f>C23/C11</f>
        <v/>
      </c>
      <c r="D24" s="16">
        <f>D23/D11</f>
        <v/>
      </c>
      <c r="E24" s="16">
        <f>E23/E11</f>
        <v/>
      </c>
      <c r="F24" s="16">
        <f>F23/F11</f>
        <v/>
      </c>
      <c r="G24" s="16">
        <f>G23/G11</f>
        <v/>
      </c>
      <c r="H24" s="16">
        <f>H23/H11</f>
        <v/>
      </c>
      <c r="I24" s="16">
        <f>I23/I11</f>
        <v/>
      </c>
      <c r="J24" s="16">
        <f>J23/J11</f>
        <v/>
      </c>
    </row>
    <row r="25" ht="6" customHeight="1"/>
    <row r="26">
      <c r="B26" s="44" t="inlineStr">
        <is>
          <t>OPERATING INCOME</t>
        </is>
      </c>
      <c r="C26" s="45">
        <f>C15-C23</f>
        <v/>
      </c>
      <c r="D26" s="45">
        <f>D15-D23</f>
        <v/>
      </c>
      <c r="E26" s="45">
        <f>E15-E23</f>
        <v/>
      </c>
      <c r="F26" s="45">
        <f>F15-F23</f>
        <v/>
      </c>
      <c r="G26" s="45">
        <f>G15-G23</f>
        <v/>
      </c>
      <c r="H26" s="45">
        <f>H15-H23</f>
        <v/>
      </c>
      <c r="I26" s="45">
        <f>I15-I23</f>
        <v/>
      </c>
      <c r="J26" s="45">
        <f>J15-J23</f>
        <v/>
      </c>
    </row>
    <row r="27">
      <c r="B27" s="56" t="inlineStr">
        <is>
          <t xml:space="preserve">   operating margin (%)</t>
        </is>
      </c>
      <c r="C27" s="34">
        <f>C26/C11</f>
        <v/>
      </c>
      <c r="D27" s="34">
        <f>D26/D11</f>
        <v/>
      </c>
      <c r="E27" s="34">
        <f>E26/E11</f>
        <v/>
      </c>
      <c r="F27" s="34">
        <f>F26/F11</f>
        <v/>
      </c>
      <c r="G27" s="34">
        <f>G26/G11</f>
        <v/>
      </c>
      <c r="H27" s="34">
        <f>H26/H11</f>
        <v/>
      </c>
      <c r="I27" s="34">
        <f>I26/I11</f>
        <v/>
      </c>
      <c r="J27" s="34">
        <f>J26/J11</f>
        <v/>
      </c>
    </row>
    <row r="28">
      <c r="B28" s="38" t="inlineStr">
        <is>
          <t>Interest income, net of interest expense</t>
        </is>
      </c>
      <c r="C28" s="13">
        <f>Historicals!C46-Historicals!C35</f>
        <v/>
      </c>
      <c r="D28" s="13">
        <f>Historicals!D46-Historicals!D35</f>
        <v/>
      </c>
      <c r="E28" s="13">
        <f>Historicals!E46-Historicals!E35</f>
        <v/>
      </c>
      <c r="F28" s="13">
        <f>Assumptions!F36</f>
        <v/>
      </c>
      <c r="G28" s="13">
        <f>Assumptions!G36</f>
        <v/>
      </c>
      <c r="H28" s="13">
        <f>Assumptions!H36</f>
        <v/>
      </c>
      <c r="I28" s="13">
        <f>Assumptions!I36</f>
        <v/>
      </c>
      <c r="J28" s="13">
        <f>Assumptions!J36</f>
        <v/>
      </c>
    </row>
    <row r="29">
      <c r="B29" s="44" t="inlineStr">
        <is>
          <t>Income before income taxes</t>
        </is>
      </c>
      <c r="C29" s="45">
        <f>C26+C28</f>
        <v/>
      </c>
      <c r="D29" s="45">
        <f>D26+D28</f>
        <v/>
      </c>
      <c r="E29" s="45">
        <f>E26+E28</f>
        <v/>
      </c>
      <c r="F29" s="45">
        <f>F26+F28</f>
        <v/>
      </c>
      <c r="G29" s="45">
        <f>G26+G28</f>
        <v/>
      </c>
      <c r="H29" s="45">
        <f>H26+H28</f>
        <v/>
      </c>
      <c r="I29" s="45">
        <f>I26+I28</f>
        <v/>
      </c>
      <c r="J29" s="45">
        <f>J26+J28</f>
        <v/>
      </c>
    </row>
    <row r="30">
      <c r="B30" s="38" t="inlineStr">
        <is>
          <t>Provision for income taxes</t>
        </is>
      </c>
      <c r="C30" s="13">
        <f>Historicals!C47</f>
        <v/>
      </c>
      <c r="D30" s="13">
        <f>Historicals!D47</f>
        <v/>
      </c>
      <c r="E30" s="13">
        <f>Historicals!E47</f>
        <v/>
      </c>
      <c r="F30" s="13">
        <f>F29*Assumptions!$C$40/100</f>
        <v/>
      </c>
      <c r="G30" s="13">
        <f>G29*Assumptions!$C$40/100</f>
        <v/>
      </c>
      <c r="H30" s="13">
        <f>H29*Assumptions!$C$40/100</f>
        <v/>
      </c>
      <c r="I30" s="13">
        <f>I29*Assumptions!$C$40/100</f>
        <v/>
      </c>
      <c r="J30" s="13">
        <f>J29*Assumptions!$C$40/100</f>
        <v/>
      </c>
    </row>
    <row r="31">
      <c r="B31" s="46" t="inlineStr">
        <is>
          <t xml:space="preserve">   effective tax rate (%)</t>
        </is>
      </c>
      <c r="C31" s="16">
        <f>C30/C29</f>
        <v/>
      </c>
      <c r="D31" s="16">
        <f>D30/D29</f>
        <v/>
      </c>
      <c r="E31" s="16">
        <f>E30/E29</f>
        <v/>
      </c>
      <c r="F31" s="16">
        <f>F30/F29</f>
        <v/>
      </c>
      <c r="G31" s="16">
        <f>G30/G29</f>
        <v/>
      </c>
      <c r="H31" s="16">
        <f>H30/H29</f>
        <v/>
      </c>
      <c r="I31" s="16">
        <f>I30/I29</f>
        <v/>
      </c>
      <c r="J31" s="16">
        <f>J30/J29</f>
        <v/>
      </c>
    </row>
    <row r="32">
      <c r="B32" s="44" t="inlineStr">
        <is>
          <t>NET INCOME</t>
        </is>
      </c>
      <c r="C32" s="45">
        <f>C29-C30</f>
        <v/>
      </c>
      <c r="D32" s="45">
        <f>D29-D30</f>
        <v/>
      </c>
      <c r="E32" s="45">
        <f>E29-E30</f>
        <v/>
      </c>
      <c r="F32" s="45">
        <f>F29-F30</f>
        <v/>
      </c>
      <c r="G32" s="45">
        <f>G29-G30</f>
        <v/>
      </c>
      <c r="H32" s="45">
        <f>H29-H30</f>
        <v/>
      </c>
      <c r="I32" s="45">
        <f>I29-I30</f>
        <v/>
      </c>
      <c r="J32" s="45">
        <f>J29-J30</f>
        <v/>
      </c>
    </row>
    <row r="33">
      <c r="B33" s="46" t="inlineStr">
        <is>
          <t xml:space="preserve">   net margin (%)</t>
        </is>
      </c>
      <c r="C33" s="16">
        <f>C32/C11</f>
        <v/>
      </c>
      <c r="D33" s="16">
        <f>D32/D11</f>
        <v/>
      </c>
      <c r="E33" s="16">
        <f>E32/E11</f>
        <v/>
      </c>
      <c r="F33" s="16">
        <f>F32/F11</f>
        <v/>
      </c>
      <c r="G33" s="16">
        <f>G32/G11</f>
        <v/>
      </c>
      <c r="H33" s="16">
        <f>H32/H11</f>
        <v/>
      </c>
      <c r="I33" s="16">
        <f>I32/I11</f>
        <v/>
      </c>
      <c r="J33" s="16">
        <f>J32/J11</f>
        <v/>
      </c>
    </row>
    <row r="34" ht="6" customHeight="1"/>
    <row r="35" ht="15.5" customHeight="1">
      <c r="B35" s="3" t="inlineStr">
        <is>
          <t>PER SHARE</t>
        </is>
      </c>
      <c r="C35" s="3" t="n"/>
      <c r="D35" s="3" t="n"/>
      <c r="E35" s="3" t="n"/>
      <c r="F35" s="3" t="n"/>
      <c r="G35" s="3" t="n"/>
      <c r="H35" s="3" t="n"/>
      <c r="I35" s="3" t="n"/>
      <c r="J35" s="3" t="n"/>
    </row>
    <row r="36">
      <c r="B36" s="38" t="inlineStr">
        <is>
          <t>Diluted weighted-average shares (000)</t>
        </is>
      </c>
      <c r="C36" s="13">
        <f>Historicals!C50</f>
        <v/>
      </c>
      <c r="D36" s="13">
        <f>Historicals!D50</f>
        <v/>
      </c>
      <c r="E36" s="13">
        <f>Historicals!E50</f>
        <v/>
      </c>
      <c r="F36" s="13">
        <f>E36-Assumptions!F49/Assumptions!F50+Assumptions!F51</f>
        <v/>
      </c>
      <c r="G36" s="13">
        <f>F36-Assumptions!G49/Assumptions!G50+Assumptions!G51</f>
        <v/>
      </c>
      <c r="H36" s="13">
        <f>G36-Assumptions!H49/Assumptions!H50+Assumptions!H51</f>
        <v/>
      </c>
      <c r="I36" s="13">
        <f>H36-Assumptions!I49/Assumptions!I50+Assumptions!I51</f>
        <v/>
      </c>
      <c r="J36" s="13">
        <f>I36-Assumptions!J49/Assumptions!J50+Assumptions!J51</f>
        <v/>
      </c>
    </row>
    <row r="37">
      <c r="B37" s="44" t="inlineStr">
        <is>
          <t>Diluted EPS ($)</t>
        </is>
      </c>
      <c r="C37" s="57">
        <f>C32/C36</f>
        <v/>
      </c>
      <c r="D37" s="57">
        <f>D32/D36</f>
        <v/>
      </c>
      <c r="E37" s="57">
        <f>E32/E36</f>
        <v/>
      </c>
      <c r="F37" s="57">
        <f>F32/F36</f>
        <v/>
      </c>
      <c r="G37" s="57">
        <f>G32/G36</f>
        <v/>
      </c>
      <c r="H37" s="57">
        <f>H32/H36</f>
        <v/>
      </c>
      <c r="I37" s="57">
        <f>I32/I36</f>
        <v/>
      </c>
      <c r="J37" s="57">
        <f>J32/J36</f>
        <v/>
      </c>
    </row>
    <row r="38">
      <c r="B38" s="46" t="inlineStr">
        <is>
          <t xml:space="preserve">   growth (%)</t>
        </is>
      </c>
      <c r="D38" s="16">
        <f>D37/C37-1</f>
        <v/>
      </c>
      <c r="E38" s="16">
        <f>E37/D37-1</f>
        <v/>
      </c>
      <c r="F38" s="16">
        <f>F37/E37-1</f>
        <v/>
      </c>
      <c r="G38" s="16">
        <f>G37/F37-1</f>
        <v/>
      </c>
      <c r="H38" s="16">
        <f>H37/G37-1</f>
        <v/>
      </c>
      <c r="I38" s="16">
        <f>I37/H37-1</f>
        <v/>
      </c>
      <c r="J38" s="16">
        <f>J37/I37-1</f>
        <v/>
      </c>
    </row>
    <row r="39" ht="6" customHeight="1"/>
    <row r="40" ht="15.5" customHeight="1">
      <c r="B40" s="3" t="inlineStr">
        <is>
          <t>MEMO — SEGMENT OPERATING INCOME</t>
        </is>
      </c>
      <c r="C40" s="3" t="n"/>
      <c r="D40" s="3" t="n"/>
      <c r="E40" s="3" t="n"/>
      <c r="F40" s="3" t="n"/>
      <c r="G40" s="3" t="n"/>
      <c r="H40" s="3" t="n"/>
      <c r="I40" s="3" t="n"/>
      <c r="J40" s="3" t="n"/>
    </row>
    <row r="41">
      <c r="B41" s="38" t="inlineStr">
        <is>
          <t>Northern homebuilding</t>
        </is>
      </c>
      <c r="C41" s="13">
        <f>Historicals!C31</f>
        <v/>
      </c>
      <c r="D41" s="13">
        <f>Historicals!D31</f>
        <v/>
      </c>
      <c r="E41" s="13">
        <f>Historicals!E31</f>
        <v/>
      </c>
      <c r="F41" s="13">
        <f>F8-('Segment Build'!F8*'Segment Build'!F12+'Segment Build'!F28*(1-Assumptions!$C$38/100)*(1-Assumptions!$C$37/100)+Assumptions!F35*0.25)-(F20+(F8+F9)*Assumptions!F33/100)*F8/(F8+F9)</f>
        <v/>
      </c>
      <c r="G41" s="13">
        <f>G8-('Segment Build'!G8*'Segment Build'!G12+'Segment Build'!G28*(1-Assumptions!$C$38/100)*(1-Assumptions!$C$37/100)+Assumptions!G35*0.25)-(G20+(G8+G9)*Assumptions!G33/100)*G8/(G8+G9)</f>
        <v/>
      </c>
      <c r="H41" s="13">
        <f>H8-('Segment Build'!H8*'Segment Build'!H12+'Segment Build'!H28*(1-Assumptions!$C$38/100)*(1-Assumptions!$C$37/100)+Assumptions!H35*0.25)-(H20+(H8+H9)*Assumptions!H33/100)*H8/(H8+H9)</f>
        <v/>
      </c>
      <c r="I41" s="13">
        <f>I8-('Segment Build'!I8*'Segment Build'!I12+'Segment Build'!I28*(1-Assumptions!$C$38/100)*(1-Assumptions!$C$37/100)+Assumptions!I35*0.25)-(I20+(I8+I9)*Assumptions!I33/100)*I8/(I8+I9)</f>
        <v/>
      </c>
      <c r="J41" s="13">
        <f>J8-('Segment Build'!J8*'Segment Build'!J12+'Segment Build'!J28*(1-Assumptions!$C$38/100)*(1-Assumptions!$C$37/100)+Assumptions!J35*0.25)-(J20+(J8+J9)*Assumptions!J33/100)*J8/(J8+J9)</f>
        <v/>
      </c>
    </row>
    <row r="42">
      <c r="B42" s="38" t="inlineStr">
        <is>
          <t>Southern homebuilding</t>
        </is>
      </c>
      <c r="C42" s="13">
        <f>Historicals!C32</f>
        <v/>
      </c>
      <c r="D42" s="13">
        <f>Historicals!D32</f>
        <v/>
      </c>
      <c r="E42" s="13">
        <f>Historicals!E32</f>
        <v/>
      </c>
      <c r="F42" s="13">
        <f>F9-('Segment Build'!F18*'Segment Build'!F22+'Segment Build'!F28*Assumptions!$C$38/100*(1-Assumptions!$C$37/100)+Assumptions!F35*0.75)-(F20+(F8+F9)*Assumptions!F33/100)*F9/(F8+F9)</f>
        <v/>
      </c>
      <c r="G42" s="13">
        <f>G9-('Segment Build'!G18*'Segment Build'!G22+'Segment Build'!G28*Assumptions!$C$38/100*(1-Assumptions!$C$37/100)+Assumptions!G35*0.75)-(G20+(G8+G9)*Assumptions!G33/100)*G9/(G8+G9)</f>
        <v/>
      </c>
      <c r="H42" s="13">
        <f>H9-('Segment Build'!H18*'Segment Build'!H22+'Segment Build'!H28*Assumptions!$C$38/100*(1-Assumptions!$C$37/100)+Assumptions!H35*0.75)-(H20+(H8+H9)*Assumptions!H33/100)*H9/(H8+H9)</f>
        <v/>
      </c>
      <c r="I42" s="13">
        <f>I9-('Segment Build'!I18*'Segment Build'!I22+'Segment Build'!I28*Assumptions!$C$38/100*(1-Assumptions!$C$37/100)+Assumptions!I35*0.75)-(I20+(I8+I9)*Assumptions!I33/100)*I9/(I8+I9)</f>
        <v/>
      </c>
      <c r="J42" s="13">
        <f>J9-('Segment Build'!J18*'Segment Build'!J22+'Segment Build'!J28*Assumptions!$C$38/100*(1-Assumptions!$C$37/100)+Assumptions!J35*0.75)-(J20+(J8+J9)*Assumptions!J33/100)*J9/(J8+J9)</f>
        <v/>
      </c>
    </row>
    <row r="43">
      <c r="B43" s="38" t="inlineStr">
        <is>
          <t>Financial services</t>
        </is>
      </c>
      <c r="C43" s="13">
        <f>Historicals!C33</f>
        <v/>
      </c>
      <c r="D43" s="13">
        <f>Historicals!D33</f>
        <v/>
      </c>
      <c r="E43" s="13">
        <f>Historicals!E33</f>
        <v/>
      </c>
      <c r="F43" s="13">
        <f>F10*Assumptions!$C$39/100</f>
        <v/>
      </c>
      <c r="G43" s="13">
        <f>G10*Assumptions!$C$39/100</f>
        <v/>
      </c>
      <c r="H43" s="13">
        <f>H10*Assumptions!$C$39/100</f>
        <v/>
      </c>
      <c r="I43" s="13">
        <f>I10*Assumptions!$C$39/100</f>
        <v/>
      </c>
      <c r="J43" s="13">
        <f>J10*Assumptions!$C$39/100</f>
        <v/>
      </c>
    </row>
    <row r="44">
      <c r="B44" s="38" t="inlineStr">
        <is>
          <t>Northern operating margin (%)</t>
        </is>
      </c>
      <c r="C44" s="16">
        <f>C41/C8</f>
        <v/>
      </c>
      <c r="D44" s="16">
        <f>D41/D8</f>
        <v/>
      </c>
      <c r="E44" s="16">
        <f>E41/E8</f>
        <v/>
      </c>
      <c r="F44" s="16">
        <f>F41/F8</f>
        <v/>
      </c>
      <c r="G44" s="16">
        <f>G41/G8</f>
        <v/>
      </c>
      <c r="H44" s="16">
        <f>H41/H8</f>
        <v/>
      </c>
      <c r="I44" s="16">
        <f>I41/I8</f>
        <v/>
      </c>
      <c r="J44" s="16">
        <f>J41/J8</f>
        <v/>
      </c>
    </row>
    <row r="45">
      <c r="B45" s="38" t="inlineStr">
        <is>
          <t>Southern operating margin (%)</t>
        </is>
      </c>
      <c r="C45" s="16">
        <f>C42/C9</f>
        <v/>
      </c>
      <c r="D45" s="16">
        <f>D42/D9</f>
        <v/>
      </c>
      <c r="E45" s="16">
        <f>E42/E9</f>
        <v/>
      </c>
      <c r="F45" s="16">
        <f>F42/F9</f>
        <v/>
      </c>
      <c r="G45" s="16">
        <f>G42/G9</f>
        <v/>
      </c>
      <c r="H45" s="16">
        <f>H42/H9</f>
        <v/>
      </c>
      <c r="I45" s="16">
        <f>I42/I9</f>
        <v/>
      </c>
      <c r="J45" s="16">
        <f>J42/J9</f>
        <v/>
      </c>
      <c r="L45" s="9" t="inlineStr">
        <is>
          <t>Base case does NOT restore Southern to its 2024 peak of 18.1%. Getting back there is the bull case, not the base case.</t>
        </is>
      </c>
    </row>
  </sheetData>
  <pageMargins left="0.75" right="0.75" top="1" bottom="1" header="0.5" footer="0.5"/>
</worksheet>
</file>

<file path=xl/worksheets/sheet7.xml><?xml version="1.0" encoding="utf-8"?>
<worksheet xmlns="http://schemas.openxmlformats.org/spreadsheetml/2006/main">
  <sheetPr>
    <tabColor rgb="002E5A7A"/>
    <outlinePr summaryBelow="1" summaryRight="1"/>
    <pageSetUpPr/>
  </sheetPr>
  <dimension ref="B2:L30"/>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Balance Sheet</t>
        </is>
      </c>
    </row>
    <row r="3">
      <c r="B3" s="2" t="inlineStr">
        <is>
          <t>$ in thousands. Cash is driven off the cash flow statement; inventory off turns. The check row at the bottom must read zero in every column.</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ASSETS</t>
        </is>
      </c>
      <c r="C7" s="3" t="n"/>
      <c r="D7" s="3" t="n"/>
      <c r="E7" s="3" t="n"/>
      <c r="F7" s="3" t="n"/>
      <c r="G7" s="3" t="n"/>
      <c r="H7" s="3" t="n"/>
      <c r="I7" s="3" t="n"/>
      <c r="J7" s="3" t="n"/>
    </row>
    <row r="8">
      <c r="B8" s="38" t="inlineStr">
        <is>
          <t>Cash and cash equivalents</t>
        </is>
      </c>
      <c r="C8" s="51">
        <f>Historicals!C54</f>
        <v/>
      </c>
      <c r="D8" s="51">
        <f>Historicals!D54</f>
        <v/>
      </c>
      <c r="E8" s="51">
        <f>Historicals!E54</f>
        <v/>
      </c>
      <c r="F8" s="51">
        <f>CF!F27</f>
        <v/>
      </c>
      <c r="G8" s="51">
        <f>CF!G27</f>
        <v/>
      </c>
      <c r="H8" s="51">
        <f>CF!H27</f>
        <v/>
      </c>
      <c r="I8" s="51">
        <f>CF!I27</f>
        <v/>
      </c>
      <c r="J8" s="51">
        <f>CF!J27</f>
        <v/>
      </c>
    </row>
    <row r="9">
      <c r="B9" s="38" t="inlineStr">
        <is>
          <t>Inventory</t>
        </is>
      </c>
      <c r="C9" s="13">
        <f>Historicals!C55</f>
        <v/>
      </c>
      <c r="D9" s="13">
        <f>Historicals!D55</f>
        <v/>
      </c>
      <c r="E9" s="13">
        <f>Historicals!E55</f>
        <v/>
      </c>
      <c r="F9" s="13">
        <f>MAX('Segment Build'!F34/Assumptions!F43,E9)</f>
        <v/>
      </c>
      <c r="G9" s="13">
        <f>MAX('Segment Build'!G34/Assumptions!G43,F9)</f>
        <v/>
      </c>
      <c r="H9" s="13">
        <f>MAX('Segment Build'!H34/Assumptions!H43,G9)</f>
        <v/>
      </c>
      <c r="I9" s="13">
        <f>MAX('Segment Build'!I34/Assumptions!I43,H9)</f>
        <v/>
      </c>
      <c r="J9" s="13">
        <f>MAX('Segment Build'!J34/Assumptions!J43,I9)</f>
        <v/>
      </c>
      <c r="L9" s="9" t="inlineStr">
        <is>
          <t>Land, land under development, and homes under construction — 71% of assets and the reason builders trade on book.</t>
        </is>
      </c>
    </row>
    <row r="10">
      <c r="B10" s="38" t="inlineStr">
        <is>
          <t>Property and equipment, net</t>
        </is>
      </c>
      <c r="C10" s="13">
        <f>Assumptions!$C$54</f>
        <v/>
      </c>
      <c r="D10" s="13">
        <f>Assumptions!$C$54</f>
        <v/>
      </c>
      <c r="E10" s="13">
        <f>Assumptions!$C$54</f>
        <v/>
      </c>
      <c r="F10" s="13">
        <f>E10+Assumptions!F46-Assumptions!F47</f>
        <v/>
      </c>
      <c r="G10" s="13">
        <f>F10+Assumptions!G46-Assumptions!G47</f>
        <v/>
      </c>
      <c r="H10" s="13">
        <f>G10+Assumptions!H46-Assumptions!H47</f>
        <v/>
      </c>
      <c r="I10" s="13">
        <f>H10+Assumptions!I46-Assumptions!I47</f>
        <v/>
      </c>
      <c r="J10" s="13">
        <f>I10+Assumptions!J46-Assumptions!J47</f>
        <v/>
      </c>
    </row>
    <row r="11">
      <c r="B11" s="38" t="inlineStr">
        <is>
          <t>Other assets (mortgage loans held for sale, deferred tax, other)</t>
        </is>
      </c>
      <c r="C11" s="13">
        <f>Historicals!C56-C8-C9-C10</f>
        <v/>
      </c>
      <c r="D11" s="13">
        <f>Historicals!D56-D8-D9-D10</f>
        <v/>
      </c>
      <c r="E11" s="13">
        <f>Historicals!E56-E8-E9-E10</f>
        <v/>
      </c>
      <c r="F11" s="13">
        <f>IS!F11*Assumptions!F44/100</f>
        <v/>
      </c>
      <c r="G11" s="13">
        <f>IS!G11*Assumptions!G44/100</f>
        <v/>
      </c>
      <c r="H11" s="13">
        <f>IS!H11*Assumptions!H44/100</f>
        <v/>
      </c>
      <c r="I11" s="13">
        <f>IS!I11*Assumptions!I44/100</f>
        <v/>
      </c>
      <c r="J11" s="13">
        <f>IS!J11*Assumptions!J44/100</f>
        <v/>
      </c>
    </row>
    <row r="12">
      <c r="B12" s="44" t="inlineStr">
        <is>
          <t>TOTAL ASSETS</t>
        </is>
      </c>
      <c r="C12" s="45">
        <f>SUM(C8:C11)</f>
        <v/>
      </c>
      <c r="D12" s="45">
        <f>SUM(D8:D11)</f>
        <v/>
      </c>
      <c r="E12" s="45">
        <f>SUM(E8:E11)</f>
        <v/>
      </c>
      <c r="F12" s="45">
        <f>SUM(F8:F11)</f>
        <v/>
      </c>
      <c r="G12" s="45">
        <f>SUM(G8:G11)</f>
        <v/>
      </c>
      <c r="H12" s="45">
        <f>SUM(H8:H11)</f>
        <v/>
      </c>
      <c r="I12" s="45">
        <f>SUM(I8:I11)</f>
        <v/>
      </c>
      <c r="J12" s="45">
        <f>SUM(J8:J11)</f>
        <v/>
      </c>
    </row>
    <row r="13" ht="6" customHeight="1"/>
    <row r="14" ht="15.5" customHeight="1">
      <c r="B14" s="3" t="inlineStr">
        <is>
          <t>LIABILITIES AND EQUITY</t>
        </is>
      </c>
      <c r="C14" s="3" t="n"/>
      <c r="D14" s="3" t="n"/>
      <c r="E14" s="3" t="n"/>
      <c r="F14" s="3" t="n"/>
      <c r="G14" s="3" t="n"/>
      <c r="H14" s="3" t="n"/>
      <c r="I14" s="3" t="n"/>
      <c r="J14" s="3" t="n"/>
    </row>
    <row r="15">
      <c r="B15" s="38" t="inlineStr">
        <is>
          <t>Homebuilding debt (senior notes)</t>
        </is>
      </c>
      <c r="C15" s="51">
        <f>Historicals!C57</f>
        <v/>
      </c>
      <c r="D15" s="51">
        <f>Historicals!D57</f>
        <v/>
      </c>
      <c r="E15" s="51">
        <f>Historicals!E57</f>
        <v/>
      </c>
      <c r="F15" s="51">
        <f>Assumptions!F52</f>
        <v/>
      </c>
      <c r="G15" s="51">
        <f>Assumptions!G52</f>
        <v/>
      </c>
      <c r="H15" s="51">
        <f>Assumptions!H52</f>
        <v/>
      </c>
      <c r="I15" s="51">
        <f>Assumptions!I52</f>
        <v/>
      </c>
      <c r="J15" s="51">
        <f>Assumptions!J52</f>
        <v/>
      </c>
    </row>
    <row r="16">
      <c r="B16" s="38" t="inlineStr">
        <is>
          <t>Financial services debt (warehouse facilities)</t>
        </is>
      </c>
      <c r="C16" s="51">
        <f>Historicals!C58</f>
        <v/>
      </c>
      <c r="D16" s="51">
        <f>Historicals!D58</f>
        <v/>
      </c>
      <c r="E16" s="51">
        <f>Historicals!E58</f>
        <v/>
      </c>
      <c r="F16" s="51">
        <f>Assumptions!F53</f>
        <v/>
      </c>
      <c r="G16" s="51">
        <f>Assumptions!G53</f>
        <v/>
      </c>
      <c r="H16" s="51">
        <f>Assumptions!H53</f>
        <v/>
      </c>
      <c r="I16" s="51">
        <f>Assumptions!I53</f>
        <v/>
      </c>
      <c r="J16" s="51">
        <f>Assumptions!J53</f>
        <v/>
      </c>
    </row>
    <row r="17">
      <c r="B17" s="38" t="inlineStr">
        <is>
          <t>Accounts payable, accruals, deposits and other</t>
        </is>
      </c>
      <c r="C17" s="13">
        <f>Historicals!C56-Historicals!C59-C15-C16</f>
        <v/>
      </c>
      <c r="D17" s="13">
        <f>Historicals!D56-Historicals!D59-D15-D16</f>
        <v/>
      </c>
      <c r="E17" s="13">
        <f>Historicals!E56-Historicals!E59-E15-E16</f>
        <v/>
      </c>
      <c r="F17" s="13">
        <f>IS!F11*Assumptions!F45/100</f>
        <v/>
      </c>
      <c r="G17" s="13">
        <f>IS!G11*Assumptions!G45/100</f>
        <v/>
      </c>
      <c r="H17" s="13">
        <f>IS!H11*Assumptions!H45/100</f>
        <v/>
      </c>
      <c r="I17" s="13">
        <f>IS!I11*Assumptions!I45/100</f>
        <v/>
      </c>
      <c r="J17" s="13">
        <f>IS!J11*Assumptions!J45/100</f>
        <v/>
      </c>
    </row>
    <row r="18">
      <c r="B18" s="44" t="inlineStr">
        <is>
          <t>Total liabilities</t>
        </is>
      </c>
      <c r="C18" s="45">
        <f>SUM(C15:C17)</f>
        <v/>
      </c>
      <c r="D18" s="45">
        <f>SUM(D15:D17)</f>
        <v/>
      </c>
      <c r="E18" s="45">
        <f>SUM(E15:E17)</f>
        <v/>
      </c>
      <c r="F18" s="45">
        <f>SUM(F15:F17)</f>
        <v/>
      </c>
      <c r="G18" s="45">
        <f>SUM(G15:G17)</f>
        <v/>
      </c>
      <c r="H18" s="45">
        <f>SUM(H15:H17)</f>
        <v/>
      </c>
      <c r="I18" s="45">
        <f>SUM(I15:I17)</f>
        <v/>
      </c>
      <c r="J18" s="45">
        <f>SUM(J15:J17)</f>
        <v/>
      </c>
    </row>
    <row r="19">
      <c r="B19" s="49" t="inlineStr">
        <is>
          <t>Shareholders' equity</t>
        </is>
      </c>
      <c r="C19" s="58">
        <f>Historicals!C59</f>
        <v/>
      </c>
      <c r="D19" s="58">
        <f>Historicals!D59</f>
        <v/>
      </c>
      <c r="E19" s="58">
        <f>Historicals!E59</f>
        <v/>
      </c>
      <c r="F19" s="58">
        <f>E19+IS!F32+Assumptions!F48-Assumptions!F49</f>
        <v/>
      </c>
      <c r="G19" s="58">
        <f>F19+IS!G32+Assumptions!G48-Assumptions!G49</f>
        <v/>
      </c>
      <c r="H19" s="58">
        <f>G19+IS!H32+Assumptions!H48-Assumptions!H49</f>
        <v/>
      </c>
      <c r="I19" s="58">
        <f>H19+IS!I32+Assumptions!I48-Assumptions!I49</f>
        <v/>
      </c>
      <c r="J19" s="58">
        <f>I19+IS!J32+Assumptions!J48-Assumptions!J49</f>
        <v/>
      </c>
    </row>
    <row r="20">
      <c r="B20" s="44" t="inlineStr">
        <is>
          <t>TOTAL LIABILITIES AND EQUITY</t>
        </is>
      </c>
      <c r="C20" s="45">
        <f>C18+C19</f>
        <v/>
      </c>
      <c r="D20" s="45">
        <f>D18+D19</f>
        <v/>
      </c>
      <c r="E20" s="45">
        <f>E18+E19</f>
        <v/>
      </c>
      <c r="F20" s="45">
        <f>F18+F19</f>
        <v/>
      </c>
      <c r="G20" s="45">
        <f>G18+G19</f>
        <v/>
      </c>
      <c r="H20" s="45">
        <f>H18+H19</f>
        <v/>
      </c>
      <c r="I20" s="45">
        <f>I18+I19</f>
        <v/>
      </c>
      <c r="J20" s="45">
        <f>J18+J19</f>
        <v/>
      </c>
    </row>
    <row r="21">
      <c r="B21" s="49" t="inlineStr">
        <is>
          <t>CHECK — assets less liabilities and equity</t>
        </is>
      </c>
      <c r="C21" s="59">
        <f>C12-C20</f>
        <v/>
      </c>
      <c r="D21" s="59">
        <f>D12-D20</f>
        <v/>
      </c>
      <c r="E21" s="59">
        <f>E12-E20</f>
        <v/>
      </c>
      <c r="F21" s="59">
        <f>F12-F20</f>
        <v/>
      </c>
      <c r="G21" s="59">
        <f>G12-G20</f>
        <v/>
      </c>
      <c r="H21" s="59">
        <f>H12-H20</f>
        <v/>
      </c>
      <c r="I21" s="59">
        <f>I12-I20</f>
        <v/>
      </c>
      <c r="J21" s="59">
        <f>J12-J20</f>
        <v/>
      </c>
      <c r="L21" s="9" t="inlineStr">
        <is>
          <t>Must be zero. Equity rolls forward from net income, stock comp and buybacks; other liabilities is the revenue-driven line.</t>
        </is>
      </c>
    </row>
    <row r="22" ht="6" customHeight="1"/>
    <row r="23" ht="15.5" customHeight="1">
      <c r="B23" s="3" t="inlineStr">
        <is>
          <t>CAPITAL STRUCTURE AND RETURNS</t>
        </is>
      </c>
      <c r="C23" s="3" t="n"/>
      <c r="D23" s="3" t="n"/>
      <c r="E23" s="3" t="n"/>
      <c r="F23" s="3" t="n"/>
      <c r="G23" s="3" t="n"/>
      <c r="H23" s="3" t="n"/>
      <c r="I23" s="3" t="n"/>
      <c r="J23" s="3" t="n"/>
    </row>
    <row r="24">
      <c r="B24" s="38" t="inlineStr">
        <is>
          <t>Shares outstanding, year end (000)</t>
        </is>
      </c>
      <c r="C24" s="13">
        <f>Historicals!C51</f>
        <v/>
      </c>
      <c r="D24" s="13">
        <f>Historicals!D51</f>
        <v/>
      </c>
      <c r="E24" s="13">
        <f>Historicals!E51</f>
        <v/>
      </c>
      <c r="F24" s="13">
        <f>IS!F36-600</f>
        <v/>
      </c>
      <c r="G24" s="13">
        <f>IS!G36-600</f>
        <v/>
      </c>
      <c r="H24" s="13">
        <f>IS!H36-600</f>
        <v/>
      </c>
      <c r="I24" s="13">
        <f>IS!I36-600</f>
        <v/>
      </c>
      <c r="J24" s="13">
        <f>IS!J36-600</f>
        <v/>
      </c>
    </row>
    <row r="25">
      <c r="B25" s="44" t="inlineStr">
        <is>
          <t>Book value per share ($)</t>
        </is>
      </c>
      <c r="C25" s="57">
        <f>C19/C24</f>
        <v/>
      </c>
      <c r="D25" s="57">
        <f>D19/D24</f>
        <v/>
      </c>
      <c r="E25" s="57">
        <f>E19/E24</f>
        <v/>
      </c>
      <c r="F25" s="57">
        <f>F19/F24</f>
        <v/>
      </c>
      <c r="G25" s="57">
        <f>G19/G24</f>
        <v/>
      </c>
      <c r="H25" s="57">
        <f>H19/H24</f>
        <v/>
      </c>
      <c r="I25" s="57">
        <f>I19/I24</f>
        <v/>
      </c>
      <c r="J25" s="57">
        <f>J19/J24</f>
        <v/>
      </c>
    </row>
    <row r="26">
      <c r="B26" s="38" t="inlineStr">
        <is>
          <t>Tangible book value per share ($)</t>
        </is>
      </c>
      <c r="C26" s="50">
        <f>(C19-16100)/C24</f>
        <v/>
      </c>
      <c r="D26" s="50">
        <f>(D19-16100)/D24</f>
        <v/>
      </c>
      <c r="E26" s="50">
        <f>(E19-16100)/E24</f>
        <v/>
      </c>
      <c r="F26" s="50">
        <f>(F19-16100)/F24</f>
        <v/>
      </c>
      <c r="G26" s="50">
        <f>(G19-16100)/G24</f>
        <v/>
      </c>
      <c r="H26" s="50">
        <f>(H19-16100)/H24</f>
        <v/>
      </c>
      <c r="I26" s="50">
        <f>(I19-16100)/I24</f>
        <v/>
      </c>
      <c r="J26" s="50">
        <f>(J19-16100)/J24</f>
        <v/>
      </c>
      <c r="L26" s="9" t="inlineStr">
        <is>
          <t>Goodwill of $16.1m — immaterial, so P/B and P/TB are near-identical for MHO.</t>
        </is>
      </c>
    </row>
    <row r="27">
      <c r="B27" s="38" t="inlineStr">
        <is>
          <t>Net debt / (net cash) — homebuilding only</t>
        </is>
      </c>
      <c r="C27" s="13">
        <f>C15-C8</f>
        <v/>
      </c>
      <c r="D27" s="13">
        <f>D15-D8</f>
        <v/>
      </c>
      <c r="E27" s="13">
        <f>E15-E8</f>
        <v/>
      </c>
      <c r="F27" s="13">
        <f>F15-F8</f>
        <v/>
      </c>
      <c r="G27" s="13">
        <f>G15-G8</f>
        <v/>
      </c>
      <c r="H27" s="13">
        <f>H15-H8</f>
        <v/>
      </c>
      <c r="I27" s="13">
        <f>I15-I8</f>
        <v/>
      </c>
      <c r="J27" s="13">
        <f>J15-J8</f>
        <v/>
      </c>
      <c r="L27" s="9" t="inlineStr">
        <is>
          <t>Financial services warehouse debt is excluded: it funds mortgage loans held for sale and is matched by those assets.</t>
        </is>
      </c>
    </row>
    <row r="28">
      <c r="B28" s="38" t="inlineStr">
        <is>
          <t>Homebuilding debt / total capital (%)</t>
        </is>
      </c>
      <c r="C28" s="16">
        <f>C15/(C15+C19)</f>
        <v/>
      </c>
      <c r="D28" s="16">
        <f>D15/(D15+D19)</f>
        <v/>
      </c>
      <c r="E28" s="16">
        <f>E15/(E15+E19)</f>
        <v/>
      </c>
      <c r="F28" s="16">
        <f>F15/(F15+F19)</f>
        <v/>
      </c>
      <c r="G28" s="16">
        <f>G15/(G15+G19)</f>
        <v/>
      </c>
      <c r="H28" s="16">
        <f>H15/(H15+H19)</f>
        <v/>
      </c>
      <c r="I28" s="16">
        <f>I15/(I15+I19)</f>
        <v/>
      </c>
      <c r="J28" s="16">
        <f>J15/(J15+J19)</f>
        <v/>
      </c>
    </row>
    <row r="29">
      <c r="B29" s="49" t="inlineStr">
        <is>
          <t>Return on equity (%)</t>
        </is>
      </c>
      <c r="C29" s="34">
        <f>IS!C32/C19</f>
        <v/>
      </c>
      <c r="D29" s="34">
        <f>IS!D32/D19</f>
        <v/>
      </c>
      <c r="E29" s="34">
        <f>IS!E32/E19</f>
        <v/>
      </c>
      <c r="F29" s="34">
        <f>IS!F32/F19</f>
        <v/>
      </c>
      <c r="G29" s="34">
        <f>IS!G32/G19</f>
        <v/>
      </c>
      <c r="H29" s="34">
        <f>IS!H32/H19</f>
        <v/>
      </c>
      <c r="I29" s="34">
        <f>IS!I32/I19</f>
        <v/>
      </c>
      <c r="J29" s="34">
        <f>IS!J32/J19</f>
        <v/>
      </c>
      <c r="L29" s="9" t="inlineStr">
        <is>
          <t>THE valuation variable. Peer P/B is 96% explained by ROE — see the Comps sheet.</t>
        </is>
      </c>
    </row>
    <row r="30">
      <c r="B30" s="38" t="inlineStr">
        <is>
          <t>Inventory turns (x)</t>
        </is>
      </c>
      <c r="C30" s="60">
        <f>'Segment Build'!C34/C9</f>
        <v/>
      </c>
      <c r="D30" s="60">
        <f>'Segment Build'!D34/D9</f>
        <v/>
      </c>
      <c r="E30" s="60">
        <f>'Segment Build'!E34/E9</f>
        <v/>
      </c>
      <c r="F30" s="60">
        <f>'Segment Build'!F34/F9</f>
        <v/>
      </c>
      <c r="G30" s="60">
        <f>'Segment Build'!G34/G9</f>
        <v/>
      </c>
      <c r="H30" s="60">
        <f>'Segment Build'!H34/H9</f>
        <v/>
      </c>
      <c r="I30" s="60">
        <f>'Segment Build'!I34/I9</f>
        <v/>
      </c>
      <c r="J30" s="60">
        <f>'Segment Build'!J34/J9</f>
        <v/>
      </c>
    </row>
  </sheetData>
  <pageMargins left="0.75" right="0.75" top="1" bottom="1" header="0.5" footer="0.5"/>
</worksheet>
</file>

<file path=xl/worksheets/sheet8.xml><?xml version="1.0" encoding="utf-8"?>
<worksheet xmlns="http://schemas.openxmlformats.org/spreadsheetml/2006/main">
  <sheetPr>
    <tabColor rgb="002E5A7A"/>
    <outlinePr summaryBelow="1" summaryRight="1"/>
    <pageSetUpPr/>
  </sheetPr>
  <dimension ref="B2:L31"/>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Cash Flow Statement</t>
        </is>
      </c>
    </row>
    <row r="3">
      <c r="B3" s="2" t="inlineStr">
        <is>
          <t>$ in thousands. 2023–2025 operating cash flow as filed. Projected operating cash flow is built from the balance sheet, which is why growth shows up as a cash cost.</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OPERATING ACTIVITIES</t>
        </is>
      </c>
      <c r="C7" s="3" t="n"/>
      <c r="D7" s="3" t="n"/>
      <c r="E7" s="3" t="n"/>
      <c r="F7" s="3" t="n"/>
      <c r="G7" s="3" t="n"/>
      <c r="H7" s="3" t="n"/>
      <c r="I7" s="3" t="n"/>
      <c r="J7" s="3" t="n"/>
    </row>
    <row r="8">
      <c r="B8" s="38" t="inlineStr">
        <is>
          <t>Net income</t>
        </is>
      </c>
      <c r="C8" s="51">
        <f>IS!C32</f>
        <v/>
      </c>
      <c r="D8" s="51">
        <f>IS!D32</f>
        <v/>
      </c>
      <c r="E8" s="51">
        <f>IS!E32</f>
        <v/>
      </c>
      <c r="F8" s="51">
        <f>IS!F32</f>
        <v/>
      </c>
      <c r="G8" s="51">
        <f>IS!G32</f>
        <v/>
      </c>
      <c r="H8" s="51">
        <f>IS!H32</f>
        <v/>
      </c>
      <c r="I8" s="51">
        <f>IS!I32</f>
        <v/>
      </c>
      <c r="J8" s="51">
        <f>IS!J32</f>
        <v/>
      </c>
    </row>
    <row r="9">
      <c r="B9" s="38" t="inlineStr">
        <is>
          <t>Depreciation and amortisation</t>
        </is>
      </c>
      <c r="C9" s="13">
        <f>Historicals!C61</f>
        <v/>
      </c>
      <c r="D9" s="13">
        <f>Historicals!D61</f>
        <v/>
      </c>
      <c r="E9" s="13">
        <f>Historicals!E61</f>
        <v/>
      </c>
      <c r="F9" s="13">
        <f>Assumptions!F47</f>
        <v/>
      </c>
      <c r="G9" s="13">
        <f>Assumptions!G47</f>
        <v/>
      </c>
      <c r="H9" s="13">
        <f>Assumptions!H47</f>
        <v/>
      </c>
      <c r="I9" s="13">
        <f>Assumptions!I47</f>
        <v/>
      </c>
      <c r="J9" s="13">
        <f>Assumptions!J47</f>
        <v/>
      </c>
    </row>
    <row r="10">
      <c r="B10" s="38" t="inlineStr">
        <is>
          <t>Stock-based compensation</t>
        </is>
      </c>
      <c r="C10" s="13">
        <f>Historicals!C62</f>
        <v/>
      </c>
      <c r="D10" s="13">
        <f>Historicals!D62</f>
        <v/>
      </c>
      <c r="E10" s="13">
        <f>Historicals!E62</f>
        <v/>
      </c>
      <c r="F10" s="13">
        <f>Assumptions!F48</f>
        <v/>
      </c>
      <c r="G10" s="13">
        <f>Assumptions!G48</f>
        <v/>
      </c>
      <c r="H10" s="13">
        <f>Assumptions!H48</f>
        <v/>
      </c>
      <c r="I10" s="13">
        <f>Assumptions!I48</f>
        <v/>
      </c>
      <c r="J10" s="13">
        <f>Assumptions!J48</f>
        <v/>
      </c>
    </row>
    <row r="11">
      <c r="B11" s="38" t="inlineStr">
        <is>
          <t>(Increase) / decrease in inventory</t>
        </is>
      </c>
      <c r="F11" s="13">
        <f>-(BS!F9-BS!E9)</f>
        <v/>
      </c>
      <c r="G11" s="13">
        <f>-(BS!G9-BS!F9)</f>
        <v/>
      </c>
      <c r="H11" s="13">
        <f>-(BS!H9-BS!G9)</f>
        <v/>
      </c>
      <c r="I11" s="13">
        <f>-(BS!I9-BS!H9)</f>
        <v/>
      </c>
      <c r="J11" s="13">
        <f>-(BS!J9-BS!I9)</f>
        <v/>
      </c>
      <c r="L11" s="9" t="inlineStr">
        <is>
          <t>Land and work-in-process. This is where the earnings recovery goes.</t>
        </is>
      </c>
    </row>
    <row r="12">
      <c r="B12" s="38" t="inlineStr">
        <is>
          <t>(Increase) / decrease in other operating assets</t>
        </is>
      </c>
      <c r="F12" s="13">
        <f>-(BS!F11-BS!E11)</f>
        <v/>
      </c>
      <c r="G12" s="13">
        <f>-(BS!G11-BS!F11)</f>
        <v/>
      </c>
      <c r="H12" s="13">
        <f>-(BS!H11-BS!G11)</f>
        <v/>
      </c>
      <c r="I12" s="13">
        <f>-(BS!I11-BS!H11)</f>
        <v/>
      </c>
      <c r="J12" s="13">
        <f>-(BS!J11-BS!I11)</f>
        <v/>
      </c>
    </row>
    <row r="13">
      <c r="B13" s="38" t="inlineStr">
        <is>
          <t>Increase / (decrease) in other liabilities</t>
        </is>
      </c>
      <c r="F13" s="13">
        <f>BS!F17-BS!E17</f>
        <v/>
      </c>
      <c r="G13" s="13">
        <f>BS!G17-BS!F17</f>
        <v/>
      </c>
      <c r="H13" s="13">
        <f>BS!H17-BS!G17</f>
        <v/>
      </c>
      <c r="I13" s="13">
        <f>BS!I17-BS!H17</f>
        <v/>
      </c>
      <c r="J13" s="13">
        <f>BS!J17-BS!I17</f>
        <v/>
      </c>
    </row>
    <row r="14">
      <c r="B14" s="44" t="inlineStr">
        <is>
          <t>CASH FROM OPERATING ACTIVITIES</t>
        </is>
      </c>
      <c r="C14" s="45">
        <f>Historicals!C60</f>
        <v/>
      </c>
      <c r="D14" s="45">
        <f>Historicals!D60</f>
        <v/>
      </c>
      <c r="E14" s="45">
        <f>Historicals!E60</f>
        <v/>
      </c>
      <c r="F14" s="45">
        <f>SUM(F8:F13)</f>
        <v/>
      </c>
      <c r="G14" s="45">
        <f>SUM(G8:G13)</f>
        <v/>
      </c>
      <c r="H14" s="45">
        <f>SUM(H8:H13)</f>
        <v/>
      </c>
      <c r="I14" s="45">
        <f>SUM(I8:I13)</f>
        <v/>
      </c>
      <c r="J14" s="45">
        <f>SUM(J8:J13)</f>
        <v/>
      </c>
    </row>
    <row r="15" ht="6" customHeight="1"/>
    <row r="16" ht="15.5" customHeight="1">
      <c r="B16" s="3" t="inlineStr">
        <is>
          <t>INVESTING ACTIVITIES</t>
        </is>
      </c>
      <c r="C16" s="3" t="n"/>
      <c r="D16" s="3" t="n"/>
      <c r="E16" s="3" t="n"/>
      <c r="F16" s="3" t="n"/>
      <c r="G16" s="3" t="n"/>
      <c r="H16" s="3" t="n"/>
      <c r="I16" s="3" t="n"/>
      <c r="J16" s="3" t="n"/>
    </row>
    <row r="17">
      <c r="B17" s="38" t="inlineStr">
        <is>
          <t>Capital expenditure</t>
        </is>
      </c>
      <c r="C17" s="13">
        <f>-Historicals!C63</f>
        <v/>
      </c>
      <c r="D17" s="13">
        <f>-Historicals!D63</f>
        <v/>
      </c>
      <c r="E17" s="13">
        <f>-Historicals!E63</f>
        <v/>
      </c>
      <c r="F17" s="13">
        <f>-Assumptions!F46</f>
        <v/>
      </c>
      <c r="G17" s="13">
        <f>-Assumptions!G46</f>
        <v/>
      </c>
      <c r="H17" s="13">
        <f>-Assumptions!H46</f>
        <v/>
      </c>
      <c r="I17" s="13">
        <f>-Assumptions!I46</f>
        <v/>
      </c>
      <c r="J17" s="13">
        <f>-Assumptions!J46</f>
        <v/>
      </c>
    </row>
    <row r="18">
      <c r="B18" s="44" t="inlineStr">
        <is>
          <t>CASH FROM INVESTING ACTIVITIES</t>
        </is>
      </c>
      <c r="C18" s="45">
        <f>C17</f>
        <v/>
      </c>
      <c r="D18" s="45">
        <f>D17</f>
        <v/>
      </c>
      <c r="E18" s="45">
        <f>E17</f>
        <v/>
      </c>
      <c r="F18" s="45">
        <f>F17</f>
        <v/>
      </c>
      <c r="G18" s="45">
        <f>G17</f>
        <v/>
      </c>
      <c r="H18" s="45">
        <f>H17</f>
        <v/>
      </c>
      <c r="I18" s="45">
        <f>I17</f>
        <v/>
      </c>
      <c r="J18" s="45">
        <f>J17</f>
        <v/>
      </c>
    </row>
    <row r="19" ht="6" customHeight="1"/>
    <row r="20" ht="15.5" customHeight="1">
      <c r="B20" s="3" t="inlineStr">
        <is>
          <t>FINANCING ACTIVITIES</t>
        </is>
      </c>
      <c r="C20" s="3" t="n"/>
      <c r="D20" s="3" t="n"/>
      <c r="E20" s="3" t="n"/>
      <c r="F20" s="3" t="n"/>
      <c r="G20" s="3" t="n"/>
      <c r="H20" s="3" t="n"/>
      <c r="I20" s="3" t="n"/>
      <c r="J20" s="3" t="n"/>
    </row>
    <row r="21">
      <c r="B21" s="38" t="inlineStr">
        <is>
          <t>Net change in debt</t>
        </is>
      </c>
      <c r="F21" s="13">
        <f>(BS!F15+BS!F16)-(BS!E15+BS!E16)</f>
        <v/>
      </c>
      <c r="G21" s="13">
        <f>(BS!G15+BS!G16)-(BS!F15+BS!F16)</f>
        <v/>
      </c>
      <c r="H21" s="13">
        <f>(BS!H15+BS!H16)-(BS!G15+BS!G16)</f>
        <v/>
      </c>
      <c r="I21" s="13">
        <f>(BS!I15+BS!I16)-(BS!H15+BS!H16)</f>
        <v/>
      </c>
      <c r="J21" s="13">
        <f>(BS!J15+BS!J16)-(BS!I15+BS!I16)</f>
        <v/>
      </c>
    </row>
    <row r="22">
      <c r="B22" s="38" t="inlineStr">
        <is>
          <t>Share repurchases</t>
        </is>
      </c>
      <c r="C22" s="13">
        <f>-Historicals!C64</f>
        <v/>
      </c>
      <c r="D22" s="13">
        <f>-Historicals!D64</f>
        <v/>
      </c>
      <c r="E22" s="13">
        <f>-Historicals!E64</f>
        <v/>
      </c>
      <c r="F22" s="13">
        <f>-Assumptions!F49</f>
        <v/>
      </c>
      <c r="G22" s="13">
        <f>-Assumptions!G49</f>
        <v/>
      </c>
      <c r="H22" s="13">
        <f>-Assumptions!H49</f>
        <v/>
      </c>
      <c r="I22" s="13">
        <f>-Assumptions!I49</f>
        <v/>
      </c>
      <c r="J22" s="13">
        <f>-Assumptions!J49</f>
        <v/>
      </c>
      <c r="L22" s="9" t="inlineStr">
        <is>
          <t>$202m in 2025 — 5.4% of the market cap, and the main way shareholders get paid. MHO pays no dividend.</t>
        </is>
      </c>
    </row>
    <row r="23">
      <c r="B23" s="44" t="inlineStr">
        <is>
          <t>CASH FROM FINANCING ACTIVITIES</t>
        </is>
      </c>
      <c r="C23" s="19" t="n"/>
      <c r="D23" s="19" t="n"/>
      <c r="E23" s="19" t="n"/>
      <c r="F23" s="45">
        <f>F21+F22</f>
        <v/>
      </c>
      <c r="G23" s="45">
        <f>G21+G22</f>
        <v/>
      </c>
      <c r="H23" s="45">
        <f>H21+H22</f>
        <v/>
      </c>
      <c r="I23" s="45">
        <f>I21+I22</f>
        <v/>
      </c>
      <c r="J23" s="45">
        <f>J21+J22</f>
        <v/>
      </c>
    </row>
    <row r="24" ht="6" customHeight="1"/>
    <row r="25">
      <c r="B25" s="44" t="inlineStr">
        <is>
          <t>Net change in cash</t>
        </is>
      </c>
      <c r="C25" s="19" t="n"/>
      <c r="D25" s="19" t="n"/>
      <c r="E25" s="19" t="n"/>
      <c r="F25" s="45">
        <f>F14+F18+F23</f>
        <v/>
      </c>
      <c r="G25" s="45">
        <f>G14+G18+G23</f>
        <v/>
      </c>
      <c r="H25" s="45">
        <f>H14+H18+H23</f>
        <v/>
      </c>
      <c r="I25" s="45">
        <f>I14+I18+I23</f>
        <v/>
      </c>
      <c r="J25" s="45">
        <f>J14+J18+J23</f>
        <v/>
      </c>
    </row>
    <row r="26">
      <c r="B26" s="38" t="inlineStr">
        <is>
          <t>Cash, beginning of period</t>
        </is>
      </c>
      <c r="F26" s="13">
        <f>Historicals!E54</f>
        <v/>
      </c>
      <c r="G26" s="13">
        <f>F27</f>
        <v/>
      </c>
      <c r="H26" s="13">
        <f>G27</f>
        <v/>
      </c>
      <c r="I26" s="13">
        <f>H27</f>
        <v/>
      </c>
      <c r="J26" s="13">
        <f>I27</f>
        <v/>
      </c>
    </row>
    <row r="27">
      <c r="B27" s="44" t="inlineStr">
        <is>
          <t>CASH, END OF PERIOD</t>
        </is>
      </c>
      <c r="C27" s="45">
        <f>Historicals!C54</f>
        <v/>
      </c>
      <c r="D27" s="45">
        <f>Historicals!D54</f>
        <v/>
      </c>
      <c r="E27" s="45">
        <f>Historicals!E54</f>
        <v/>
      </c>
      <c r="F27" s="45">
        <f>F26+F25</f>
        <v/>
      </c>
      <c r="G27" s="45">
        <f>G26+G25</f>
        <v/>
      </c>
      <c r="H27" s="45">
        <f>H26+H25</f>
        <v/>
      </c>
      <c r="I27" s="45">
        <f>I26+I25</f>
        <v/>
      </c>
      <c r="J27" s="45">
        <f>J26+J25</f>
        <v/>
      </c>
    </row>
    <row r="28" ht="6" customHeight="1"/>
    <row r="29" ht="15.5" customHeight="1">
      <c r="B29" s="3" t="inlineStr">
        <is>
          <t>MEMO — FREE CASH FLOW</t>
        </is>
      </c>
      <c r="C29" s="3" t="n"/>
      <c r="D29" s="3" t="n"/>
      <c r="E29" s="3" t="n"/>
      <c r="F29" s="3" t="n"/>
      <c r="G29" s="3" t="n"/>
      <c r="H29" s="3" t="n"/>
      <c r="I29" s="3" t="n"/>
      <c r="J29" s="3" t="n"/>
    </row>
    <row r="30">
      <c r="B30" s="49" t="inlineStr">
        <is>
          <t>Operating cash flow less capex</t>
        </is>
      </c>
      <c r="C30" s="58">
        <f>C14+C18</f>
        <v/>
      </c>
      <c r="D30" s="58">
        <f>D14+D18</f>
        <v/>
      </c>
      <c r="E30" s="58">
        <f>E14+E18</f>
        <v/>
      </c>
      <c r="F30" s="58">
        <f>F14+F18</f>
        <v/>
      </c>
      <c r="G30" s="58">
        <f>G14+G18</f>
        <v/>
      </c>
      <c r="H30" s="58">
        <f>H14+H18</f>
        <v/>
      </c>
      <c r="I30" s="58">
        <f>I14+I18</f>
        <v/>
      </c>
      <c r="J30" s="58">
        <f>J14+J18</f>
        <v/>
      </c>
    </row>
    <row r="31">
      <c r="B31" s="46" t="inlineStr">
        <is>
          <t xml:space="preserve">   as % of net income</t>
        </is>
      </c>
      <c r="C31" s="16">
        <f>C30/C8</f>
        <v/>
      </c>
      <c r="D31" s="16">
        <f>D30/D8</f>
        <v/>
      </c>
      <c r="E31" s="16">
        <f>E30/E8</f>
        <v/>
      </c>
      <c r="F31" s="16">
        <f>F30/F8</f>
        <v/>
      </c>
      <c r="G31" s="16">
        <f>G30/G8</f>
        <v/>
      </c>
      <c r="H31" s="16">
        <f>H30/H8</f>
        <v/>
      </c>
      <c r="I31" s="16">
        <f>I30/I8</f>
        <v/>
      </c>
      <c r="J31" s="16">
        <f>J30/J8</f>
        <v/>
      </c>
      <c r="L31" s="9" t="inlineStr">
        <is>
          <t>Conversion is poor whenever the land pipeline is growing. It was 119% in 2023 when MHO stopped buying land, and 34% in 2025.</t>
        </is>
      </c>
    </row>
  </sheetData>
  <pageMargins left="0.75" right="0.75" top="1" bottom="1" header="0.5" footer="0.5"/>
</worksheet>
</file>

<file path=xl/worksheets/sheet9.xml><?xml version="1.0" encoding="utf-8"?>
<worksheet xmlns="http://schemas.openxmlformats.org/spreadsheetml/2006/main">
  <sheetPr>
    <tabColor rgb="007A5C2E"/>
    <outlinePr summaryBelow="1" summaryRight="1"/>
    <pageSetUpPr/>
  </sheetPr>
  <dimension ref="B2:L56"/>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Discounted Cash Flow</t>
        </is>
      </c>
    </row>
    <row r="3">
      <c r="B3" s="2" t="inlineStr">
        <is>
          <t>Unlevered free cash flow, valued at 30-Sep-2026 with a mid-year convention. 2026E is included at one quarter (Q4 only).</t>
        </is>
      </c>
    </row>
    <row r="5" ht="15.5" customHeight="1">
      <c r="B5" s="3" t="inlineStr">
        <is>
          <t>COST OF CAPITAL</t>
        </is>
      </c>
      <c r="C5" s="3" t="n"/>
      <c r="D5" s="3" t="n"/>
      <c r="E5" s="3" t="n"/>
      <c r="F5" s="3" t="n"/>
      <c r="G5" s="3" t="n"/>
      <c r="H5" s="3" t="n"/>
      <c r="I5" s="3" t="n"/>
      <c r="J5" s="3" t="n"/>
    </row>
    <row r="6">
      <c r="B6" s="10" t="inlineStr">
        <is>
          <t>Risk-free rate — 10-yr UST</t>
        </is>
      </c>
      <c r="C6" s="52">
        <f>Assumptions!$C$57</f>
        <v/>
      </c>
    </row>
    <row r="7">
      <c r="B7" s="10" t="inlineStr">
        <is>
          <t>Equity risk premium</t>
        </is>
      </c>
      <c r="C7" s="52">
        <f>Assumptions!$C$58</f>
        <v/>
      </c>
    </row>
    <row r="8">
      <c r="B8" s="10" t="inlineStr">
        <is>
          <t>Levered beta</t>
        </is>
      </c>
      <c r="C8" s="50">
        <f>Assumptions!$C$59</f>
        <v/>
      </c>
    </row>
    <row r="9">
      <c r="B9" s="6" t="inlineStr">
        <is>
          <t>Cost of equity</t>
        </is>
      </c>
      <c r="C9" s="61">
        <f>C6+C8*C7</f>
        <v/>
      </c>
    </row>
    <row r="10">
      <c r="B10" s="10" t="inlineStr">
        <is>
          <t>Pre-tax cost of debt</t>
        </is>
      </c>
      <c r="C10" s="52">
        <f>Assumptions!$C$60</f>
        <v/>
      </c>
    </row>
    <row r="11">
      <c r="B11" s="10" t="inlineStr">
        <is>
          <t>After-tax cost of debt</t>
        </is>
      </c>
      <c r="C11" s="52">
        <f>C10*(1-Assumptions!$C$40/100)</f>
        <v/>
      </c>
    </row>
    <row r="12">
      <c r="B12" s="10" t="inlineStr">
        <is>
          <t>Market capitalisation</t>
        </is>
      </c>
      <c r="C12" s="13">
        <f>Assumptions!$C$62*Assumptions!$C$63</f>
        <v/>
      </c>
      <c r="L12" s="2" t="inlineStr">
        <is>
          <t>Price x shares outstanding.</t>
        </is>
      </c>
    </row>
    <row r="13">
      <c r="B13" s="10" t="inlineStr">
        <is>
          <t>Homebuilding debt</t>
        </is>
      </c>
      <c r="C13" s="13">
        <f>BS!E15</f>
        <v/>
      </c>
      <c r="L13" s="2" t="inlineStr">
        <is>
          <t>Warehouse debt excluded — it is operating, not capital-structure, debt.</t>
        </is>
      </c>
    </row>
    <row r="14">
      <c r="B14" s="10" t="inlineStr">
        <is>
          <t>Weight of equity</t>
        </is>
      </c>
      <c r="C14" s="16">
        <f>C12/(C12+C13)</f>
        <v/>
      </c>
    </row>
    <row r="15">
      <c r="B15" s="10" t="inlineStr">
        <is>
          <t>Weight of debt</t>
        </is>
      </c>
      <c r="C15" s="16">
        <f>C13/(C12+C13)</f>
        <v/>
      </c>
    </row>
    <row r="16">
      <c r="B16" s="6" t="inlineStr">
        <is>
          <t>WACC</t>
        </is>
      </c>
      <c r="C16" s="61">
        <f>C14*C9+C15*C11</f>
        <v/>
      </c>
    </row>
    <row r="17">
      <c r="B17" s="10" t="inlineStr">
        <is>
          <t>Terminal growth rate</t>
        </is>
      </c>
      <c r="C17" s="52">
        <f>Assumptions!$C$61</f>
        <v/>
      </c>
    </row>
    <row r="18" ht="6" customHeight="1"/>
    <row r="19" ht="15.5" customHeight="1">
      <c r="B19" s="3" t="inlineStr">
        <is>
          <t>UNLEVERED FREE CASH FLOW</t>
        </is>
      </c>
      <c r="C19" s="3" t="n"/>
      <c r="D19" s="3" t="n"/>
      <c r="E19" s="3" t="n"/>
      <c r="F19" s="3" t="n"/>
      <c r="G19" s="3" t="n"/>
      <c r="H19" s="3" t="n"/>
      <c r="I19" s="3" t="n"/>
      <c r="J19" s="3" t="n"/>
    </row>
    <row r="20">
      <c r="B20" s="36" t="inlineStr">
        <is>
          <t>($ in thousands)</t>
        </is>
      </c>
      <c r="C20" s="62" t="n"/>
      <c r="D20" s="62" t="n"/>
      <c r="E20" s="62" t="n"/>
      <c r="F20" s="33" t="inlineStr">
        <is>
          <t>2026E</t>
        </is>
      </c>
      <c r="G20" s="33" t="inlineStr">
        <is>
          <t>2027E</t>
        </is>
      </c>
      <c r="H20" s="33" t="inlineStr">
        <is>
          <t>2028E</t>
        </is>
      </c>
      <c r="I20" s="33" t="inlineStr">
        <is>
          <t>2029E</t>
        </is>
      </c>
      <c r="J20" s="33" t="inlineStr">
        <is>
          <t>2030E</t>
        </is>
      </c>
    </row>
    <row r="21">
      <c r="B21" s="38" t="inlineStr">
        <is>
          <t>EBIT (operating income)</t>
        </is>
      </c>
      <c r="F21" s="51">
        <f>IS!F26</f>
        <v/>
      </c>
      <c r="G21" s="51">
        <f>IS!G26</f>
        <v/>
      </c>
      <c r="H21" s="51">
        <f>IS!H26</f>
        <v/>
      </c>
      <c r="I21" s="51">
        <f>IS!I26</f>
        <v/>
      </c>
      <c r="J21" s="51">
        <f>IS!J26</f>
        <v/>
      </c>
    </row>
    <row r="22">
      <c r="B22" s="38" t="inlineStr">
        <is>
          <t>Cash taxes on EBIT</t>
        </is>
      </c>
      <c r="F22" s="13">
        <f>-F21*Assumptions!$C$40/100</f>
        <v/>
      </c>
      <c r="G22" s="13">
        <f>-G21*Assumptions!$C$40/100</f>
        <v/>
      </c>
      <c r="H22" s="13">
        <f>-H21*Assumptions!$C$40/100</f>
        <v/>
      </c>
      <c r="I22" s="13">
        <f>-I21*Assumptions!$C$40/100</f>
        <v/>
      </c>
      <c r="J22" s="13">
        <f>-J21*Assumptions!$C$40/100</f>
        <v/>
      </c>
    </row>
    <row r="23">
      <c r="B23" s="44" t="inlineStr">
        <is>
          <t>NOPAT</t>
        </is>
      </c>
      <c r="F23" s="45">
        <f>F21+F22</f>
        <v/>
      </c>
      <c r="G23" s="45">
        <f>G21+G22</f>
        <v/>
      </c>
      <c r="H23" s="45">
        <f>H21+H22</f>
        <v/>
      </c>
      <c r="I23" s="45">
        <f>I21+I22</f>
        <v/>
      </c>
      <c r="J23" s="45">
        <f>J21+J22</f>
        <v/>
      </c>
    </row>
    <row r="24">
      <c r="B24" s="38" t="inlineStr">
        <is>
          <t>Add: depreciation and amortisation</t>
        </is>
      </c>
      <c r="F24" s="13">
        <f>Assumptions!F47</f>
        <v/>
      </c>
      <c r="G24" s="13">
        <f>Assumptions!G47</f>
        <v/>
      </c>
      <c r="H24" s="13">
        <f>Assumptions!H47</f>
        <v/>
      </c>
      <c r="I24" s="13">
        <f>Assumptions!I47</f>
        <v/>
      </c>
      <c r="J24" s="13">
        <f>Assumptions!J47</f>
        <v/>
      </c>
    </row>
    <row r="25">
      <c r="B25" s="38" t="inlineStr">
        <is>
          <t>Less: capital expenditure</t>
        </is>
      </c>
      <c r="F25" s="13">
        <f>-Assumptions!F46</f>
        <v/>
      </c>
      <c r="G25" s="13">
        <f>-Assumptions!G46</f>
        <v/>
      </c>
      <c r="H25" s="13">
        <f>-Assumptions!H46</f>
        <v/>
      </c>
      <c r="I25" s="13">
        <f>-Assumptions!I46</f>
        <v/>
      </c>
      <c r="J25" s="13">
        <f>-Assumptions!J46</f>
        <v/>
      </c>
    </row>
    <row r="26">
      <c r="B26" s="38" t="inlineStr">
        <is>
          <t>Less: stock-based compensation</t>
        </is>
      </c>
      <c r="F26" s="13">
        <f>-Assumptions!F48</f>
        <v/>
      </c>
      <c r="G26" s="13">
        <f>-Assumptions!G48</f>
        <v/>
      </c>
      <c r="H26" s="13">
        <f>-Assumptions!H48</f>
        <v/>
      </c>
      <c r="I26" s="13">
        <f>-Assumptions!I48</f>
        <v/>
      </c>
      <c r="J26" s="13">
        <f>-Assumptions!J48</f>
        <v/>
      </c>
      <c r="L26" s="9" t="inlineStr">
        <is>
          <t>Treated as a real economic cost. Excluding it would add roughly $6 per share.</t>
        </is>
      </c>
    </row>
    <row r="27">
      <c r="B27" s="38" t="inlineStr">
        <is>
          <t>Net working capital (inventory + other assets − other liabilities)</t>
        </is>
      </c>
      <c r="E27" s="13">
        <f>BS!E9+BS!E11-BS!E17</f>
        <v/>
      </c>
      <c r="F27" s="13">
        <f>BS!F9+BS!F11-BS!F17</f>
        <v/>
      </c>
      <c r="G27" s="13">
        <f>BS!G9+BS!G11-BS!G17</f>
        <v/>
      </c>
      <c r="H27" s="13">
        <f>BS!H9+BS!H11-BS!H17</f>
        <v/>
      </c>
      <c r="I27" s="13">
        <f>BS!I9+BS!I11-BS!I17</f>
        <v/>
      </c>
      <c r="J27" s="13">
        <f>BS!J9+BS!J11-BS!J17</f>
        <v/>
      </c>
    </row>
    <row r="28">
      <c r="B28" s="38" t="inlineStr">
        <is>
          <t>Less: increase in net working capital</t>
        </is>
      </c>
      <c r="F28" s="13">
        <f>-(F27-E27)</f>
        <v/>
      </c>
      <c r="G28" s="13">
        <f>-(G27-F27)</f>
        <v/>
      </c>
      <c r="H28" s="13">
        <f>-(H27-G27)</f>
        <v/>
      </c>
      <c r="I28" s="13">
        <f>-(I27-H27)</f>
        <v/>
      </c>
      <c r="J28" s="13">
        <f>-(J27-I27)</f>
        <v/>
      </c>
      <c r="L28" s="9" t="inlineStr">
        <is>
          <t>The heart of the matter. Land absorbs $185–235m a year once deliveries start growing again.</t>
        </is>
      </c>
    </row>
    <row r="29">
      <c r="B29" s="44" t="inlineStr">
        <is>
          <t>UNLEVERED FREE CASH FLOW</t>
        </is>
      </c>
      <c r="F29" s="45">
        <f>F23+F24+F25+F26+F28</f>
        <v/>
      </c>
      <c r="G29" s="45">
        <f>G23+G24+G25+G26+G28</f>
        <v/>
      </c>
      <c r="H29" s="45">
        <f>H23+H24+H25+H26+H28</f>
        <v/>
      </c>
      <c r="I29" s="45">
        <f>I23+I24+I25+I26+I28</f>
        <v/>
      </c>
      <c r="J29" s="45">
        <f>J23+J24+J25+J26+J28</f>
        <v/>
      </c>
    </row>
    <row r="30">
      <c r="B30" s="38" t="inlineStr">
        <is>
          <t>Period weight (2026E = Q4 only)</t>
        </is>
      </c>
      <c r="F30" s="40" t="n">
        <v>0.25</v>
      </c>
      <c r="G30" s="40" t="n">
        <v>1</v>
      </c>
      <c r="H30" s="40" t="n">
        <v>1</v>
      </c>
      <c r="I30" s="40" t="n">
        <v>1</v>
      </c>
      <c r="J30" s="40" t="n">
        <v>1</v>
      </c>
    </row>
    <row r="31">
      <c r="B31" s="38" t="inlineStr">
        <is>
          <t>Discount period (mid-year)</t>
        </is>
      </c>
      <c r="F31" s="40" t="n">
        <v>0.125</v>
      </c>
      <c r="G31" s="40" t="n">
        <v>0.75</v>
      </c>
      <c r="H31" s="40" t="n">
        <v>1.75</v>
      </c>
      <c r="I31" s="40" t="n">
        <v>2.75</v>
      </c>
      <c r="J31" s="40" t="n">
        <v>3.75</v>
      </c>
    </row>
    <row r="32">
      <c r="B32" s="38" t="inlineStr">
        <is>
          <t>Discount factor</t>
        </is>
      </c>
      <c r="F32" s="63">
        <f>1/(1+$C$16/100)^F31</f>
        <v/>
      </c>
      <c r="G32" s="63">
        <f>1/(1+$C$16/100)^G31</f>
        <v/>
      </c>
      <c r="H32" s="63">
        <f>1/(1+$C$16/100)^H31</f>
        <v/>
      </c>
      <c r="I32" s="63">
        <f>1/(1+$C$16/100)^I31</f>
        <v/>
      </c>
      <c r="J32" s="63">
        <f>1/(1+$C$16/100)^J31</f>
        <v/>
      </c>
    </row>
    <row r="33">
      <c r="B33" s="44" t="inlineStr">
        <is>
          <t>Present value of free cash flow</t>
        </is>
      </c>
      <c r="F33" s="45">
        <f>F29*F30*F32</f>
        <v/>
      </c>
      <c r="G33" s="45">
        <f>G29*G30*G32</f>
        <v/>
      </c>
      <c r="H33" s="45">
        <f>H29*H30*H32</f>
        <v/>
      </c>
      <c r="I33" s="45">
        <f>I29*I30*I32</f>
        <v/>
      </c>
      <c r="J33" s="45">
        <f>J29*J30*J32</f>
        <v/>
      </c>
    </row>
    <row r="34" ht="6" customHeight="1"/>
    <row r="35" ht="15.5" customHeight="1">
      <c r="B35" s="3" t="inlineStr">
        <is>
          <t>VALUE BRIDGE</t>
        </is>
      </c>
      <c r="C35" s="3" t="n"/>
      <c r="D35" s="3" t="n"/>
      <c r="E35" s="3" t="n"/>
      <c r="F35" s="3" t="n"/>
      <c r="G35" s="3" t="n"/>
      <c r="H35" s="3" t="n"/>
      <c r="I35" s="3" t="n"/>
      <c r="J35" s="3" t="n"/>
    </row>
    <row r="36">
      <c r="B36" s="10" t="inlineStr">
        <is>
          <t>Sum of present values, 2026E–2030E</t>
        </is>
      </c>
      <c r="C36" s="13">
        <f>SUM(F33:J33)</f>
        <v/>
      </c>
    </row>
    <row r="37">
      <c r="B37" s="10" t="inlineStr">
        <is>
          <t>2030E revenue growth</t>
        </is>
      </c>
      <c r="C37" s="16">
        <f>IS!J11/IS!I11-1</f>
        <v/>
      </c>
      <c r="L37" s="2" t="inlineStr">
        <is>
          <t>The growth the 2030 working capital build actually supports.</t>
        </is>
      </c>
    </row>
    <row r="38">
      <c r="B38" s="10" t="inlineStr">
        <is>
          <t>Normalised terminal working capital investment</t>
        </is>
      </c>
      <c r="C38" s="13">
        <f>-J28*(C17/100)/C37</f>
        <v/>
      </c>
      <c r="L38" s="2" t="inlineStr">
        <is>
          <t>The 2030 build scaled down to the perpetual growth rate.</t>
        </is>
      </c>
    </row>
    <row r="39">
      <c r="B39" s="6" t="inlineStr">
        <is>
          <t>NORMALISED TERMINAL FREE CASH FLOW</t>
        </is>
      </c>
      <c r="C39" s="64">
        <f>J29+(-J28)-C38</f>
        <v/>
      </c>
      <c r="L39" s="2" t="inlineStr">
        <is>
          <t>This, not 2030E FCF, is what the terminal value is built on.</t>
        </is>
      </c>
    </row>
    <row r="40">
      <c r="B40" s="10" t="inlineStr">
        <is>
          <t>Terminal value at 31-Dec-2030</t>
        </is>
      </c>
      <c r="C40" s="13">
        <f>C39*(1+C17/100)/(C16/100-C17/100)</f>
        <v/>
      </c>
      <c r="L40" s="2" t="inlineStr">
        <is>
          <t>Gordon growth on the NORMALISED terminal cash flow.</t>
        </is>
      </c>
    </row>
    <row r="41">
      <c r="B41" s="10" t="inlineStr">
        <is>
          <t>Present value of terminal value</t>
        </is>
      </c>
      <c r="C41" s="13">
        <f>C40/(1+C16/100)^4.25</f>
        <v/>
      </c>
    </row>
    <row r="42">
      <c r="B42" s="10" t="inlineStr">
        <is>
          <t>Terminal value as % of enterprise value</t>
        </is>
      </c>
      <c r="C42" s="16">
        <f>C41/(C36+C41)</f>
        <v/>
      </c>
      <c r="L42" s="2" t="inlineStr">
        <is>
          <t>High, as it always is for a cyclical with heavy near-term working capital investment. Treat the DCF as a discipline, not an oracle.</t>
        </is>
      </c>
    </row>
    <row r="43">
      <c r="B43" s="6" t="inlineStr">
        <is>
          <t>ENTERPRISE VALUE</t>
        </is>
      </c>
      <c r="C43" s="64">
        <f>C36+C41</f>
        <v/>
      </c>
    </row>
    <row r="44">
      <c r="B44" s="10" t="inlineStr">
        <is>
          <t>Less: net debt / (add: net cash)</t>
        </is>
      </c>
      <c r="C44" s="13">
        <f>BS!E15-737000</f>
        <v/>
      </c>
      <c r="L44" s="2" t="inlineStr">
        <is>
          <t>Homebuilding debt $696.9m less cash of $735.9m at 30-Jun-2026: MHO is in a net cash position.</t>
        </is>
      </c>
    </row>
    <row r="45">
      <c r="B45" s="6" t="inlineStr">
        <is>
          <t>EQUITY VALUE</t>
        </is>
      </c>
      <c r="C45" s="64">
        <f>C43-C44</f>
        <v/>
      </c>
    </row>
    <row r="46">
      <c r="B46" s="10" t="inlineStr">
        <is>
          <t>Shares outstanding (000)</t>
        </is>
      </c>
      <c r="C46" s="13">
        <f>Assumptions!$C$63</f>
        <v/>
      </c>
    </row>
    <row r="47">
      <c r="B47" s="6" t="inlineStr">
        <is>
          <t>DCF VALUE PER SHARE</t>
        </is>
      </c>
      <c r="C47" s="8">
        <f>C45/C46</f>
        <v/>
      </c>
    </row>
    <row r="48">
      <c r="B48" s="6" t="inlineStr">
        <is>
          <t>Upside / (downside) to current price</t>
        </is>
      </c>
      <c r="C48" s="65">
        <f>C47/Assumptions!$C$62-1</f>
        <v/>
      </c>
    </row>
    <row r="49" ht="6" customHeight="1"/>
    <row r="50" ht="15.5" customHeight="1">
      <c r="B50" s="3" t="inlineStr">
        <is>
          <t>SENSITIVITY — DCF value per share:  WACC (down) x terminal growth (across)</t>
        </is>
      </c>
      <c r="C50" s="3" t="n"/>
      <c r="D50" s="3" t="n"/>
      <c r="E50" s="3" t="n"/>
      <c r="F50" s="3" t="n"/>
      <c r="G50" s="3" t="n"/>
      <c r="H50" s="3" t="n"/>
      <c r="I50" s="3" t="n"/>
      <c r="J50" s="3" t="n"/>
    </row>
    <row r="51">
      <c r="B51" s="24" t="inlineStr">
        <is>
          <t>WACC  \  terminal growth</t>
        </is>
      </c>
      <c r="C51" s="66" t="n">
        <v>0.015</v>
      </c>
      <c r="D51" s="66" t="n">
        <v>0.02</v>
      </c>
      <c r="E51" s="66" t="n">
        <v>0.025</v>
      </c>
      <c r="F51" s="66" t="n">
        <v>0.03</v>
      </c>
      <c r="G51" s="66" t="n">
        <v>0.035</v>
      </c>
    </row>
    <row r="52">
      <c r="B52" s="67">
        <f>$C$16+-1.0</f>
        <v/>
      </c>
      <c r="C52" s="68">
        <f>(F$29*F$30/(1+$B$52/100)^F$31+G$29*G$30/(1+$B$52/100)^G$31+H$29*H$30/(1+$B$52/100)^H$31+I$29*I$30/(1+$B$52/100)^I$31+J$29*J$30/(1+$B$52/100)^J$31+(J$29+(-J$28)+J$28*C$51/$C$37)*(1+C$51)/($B$52/100-C$51)/(1+$B$52/100)^4.25-$C$44)/$C$46</f>
        <v/>
      </c>
      <c r="D52" s="68">
        <f>(F$29*F$30/(1+$B$52/100)^F$31+G$29*G$30/(1+$B$52/100)^G$31+H$29*H$30/(1+$B$52/100)^H$31+I$29*I$30/(1+$B$52/100)^I$31+J$29*J$30/(1+$B$52/100)^J$31+(J$29+(-J$28)+J$28*D$51/$C$37)*(1+D$51)/($B$52/100-D$51)/(1+$B$52/100)^4.25-$C$44)/$C$46</f>
        <v/>
      </c>
      <c r="E52" s="68">
        <f>(F$29*F$30/(1+$B$52/100)^F$31+G$29*G$30/(1+$B$52/100)^G$31+H$29*H$30/(1+$B$52/100)^H$31+I$29*I$30/(1+$B$52/100)^I$31+J$29*J$30/(1+$B$52/100)^J$31+(J$29+(-J$28)+J$28*E$51/$C$37)*(1+E$51)/($B$52/100-E$51)/(1+$B$52/100)^4.25-$C$44)/$C$46</f>
        <v/>
      </c>
      <c r="F52" s="68">
        <f>(F$29*F$30/(1+$B$52/100)^F$31+G$29*G$30/(1+$B$52/100)^G$31+H$29*H$30/(1+$B$52/100)^H$31+I$29*I$30/(1+$B$52/100)^I$31+J$29*J$30/(1+$B$52/100)^J$31+(J$29+(-J$28)+J$28*F$51/$C$37)*(1+F$51)/($B$52/100-F$51)/(1+$B$52/100)^4.25-$C$44)/$C$46</f>
        <v/>
      </c>
      <c r="G52" s="68">
        <f>(F$29*F$30/(1+$B$52/100)^F$31+G$29*G$30/(1+$B$52/100)^G$31+H$29*H$30/(1+$B$52/100)^H$31+I$29*I$30/(1+$B$52/100)^I$31+J$29*J$30/(1+$B$52/100)^J$31+(J$29+(-J$28)+J$28*G$51/$C$37)*(1+G$51)/($B$52/100-G$51)/(1+$B$52/100)^4.25-$C$44)/$C$46</f>
        <v/>
      </c>
    </row>
    <row r="53">
      <c r="B53" s="67">
        <f>$C$16+-0.5</f>
        <v/>
      </c>
      <c r="C53" s="68">
        <f>(F$29*F$30/(1+$B$53/100)^F$31+G$29*G$30/(1+$B$53/100)^G$31+H$29*H$30/(1+$B$53/100)^H$31+I$29*I$30/(1+$B$53/100)^I$31+J$29*J$30/(1+$B$53/100)^J$31+(J$29+(-J$28)+J$28*C$51/$C$37)*(1+C$51)/($B$53/100-C$51)/(1+$B$53/100)^4.25-$C$44)/$C$46</f>
        <v/>
      </c>
      <c r="D53" s="68">
        <f>(F$29*F$30/(1+$B$53/100)^F$31+G$29*G$30/(1+$B$53/100)^G$31+H$29*H$30/(1+$B$53/100)^H$31+I$29*I$30/(1+$B$53/100)^I$31+J$29*J$30/(1+$B$53/100)^J$31+(J$29+(-J$28)+J$28*D$51/$C$37)*(1+D$51)/($B$53/100-D$51)/(1+$B$53/100)^4.25-$C$44)/$C$46</f>
        <v/>
      </c>
      <c r="E53" s="68">
        <f>(F$29*F$30/(1+$B$53/100)^F$31+G$29*G$30/(1+$B$53/100)^G$31+H$29*H$30/(1+$B$53/100)^H$31+I$29*I$30/(1+$B$53/100)^I$31+J$29*J$30/(1+$B$53/100)^J$31+(J$29+(-J$28)+J$28*E$51/$C$37)*(1+E$51)/($B$53/100-E$51)/(1+$B$53/100)^4.25-$C$44)/$C$46</f>
        <v/>
      </c>
      <c r="F53" s="68">
        <f>(F$29*F$30/(1+$B$53/100)^F$31+G$29*G$30/(1+$B$53/100)^G$31+H$29*H$30/(1+$B$53/100)^H$31+I$29*I$30/(1+$B$53/100)^I$31+J$29*J$30/(1+$B$53/100)^J$31+(J$29+(-J$28)+J$28*F$51/$C$37)*(1+F$51)/($B$53/100-F$51)/(1+$B$53/100)^4.25-$C$44)/$C$46</f>
        <v/>
      </c>
      <c r="G53" s="68">
        <f>(F$29*F$30/(1+$B$53/100)^F$31+G$29*G$30/(1+$B$53/100)^G$31+H$29*H$30/(1+$B$53/100)^H$31+I$29*I$30/(1+$B$53/100)^I$31+J$29*J$30/(1+$B$53/100)^J$31+(J$29+(-J$28)+J$28*G$51/$C$37)*(1+G$51)/($B$53/100-G$51)/(1+$B$53/100)^4.25-$C$44)/$C$46</f>
        <v/>
      </c>
    </row>
    <row r="54">
      <c r="B54" s="67">
        <f>$C$16+0.0</f>
        <v/>
      </c>
      <c r="C54" s="68">
        <f>(F$29*F$30/(1+$B$54/100)^F$31+G$29*G$30/(1+$B$54/100)^G$31+H$29*H$30/(1+$B$54/100)^H$31+I$29*I$30/(1+$B$54/100)^I$31+J$29*J$30/(1+$B$54/100)^J$31+(J$29+(-J$28)+J$28*C$51/$C$37)*(1+C$51)/($B$54/100-C$51)/(1+$B$54/100)^4.25-$C$44)/$C$46</f>
        <v/>
      </c>
      <c r="D54" s="68">
        <f>(F$29*F$30/(1+$B$54/100)^F$31+G$29*G$30/(1+$B$54/100)^G$31+H$29*H$30/(1+$B$54/100)^H$31+I$29*I$30/(1+$B$54/100)^I$31+J$29*J$30/(1+$B$54/100)^J$31+(J$29+(-J$28)+J$28*D$51/$C$37)*(1+D$51)/($B$54/100-D$51)/(1+$B$54/100)^4.25-$C$44)/$C$46</f>
        <v/>
      </c>
      <c r="E54" s="69">
        <f>(F$29*F$30/(1+$B$54/100)^F$31+G$29*G$30/(1+$B$54/100)^G$31+H$29*H$30/(1+$B$54/100)^H$31+I$29*I$30/(1+$B$54/100)^I$31+J$29*J$30/(1+$B$54/100)^J$31+(J$29+(-J$28)+J$28*E$51/$C$37)*(1+E$51)/($B$54/100-E$51)/(1+$B$54/100)^4.25-$C$44)/$C$46</f>
        <v/>
      </c>
      <c r="F54" s="68">
        <f>(F$29*F$30/(1+$B$54/100)^F$31+G$29*G$30/(1+$B$54/100)^G$31+H$29*H$30/(1+$B$54/100)^H$31+I$29*I$30/(1+$B$54/100)^I$31+J$29*J$30/(1+$B$54/100)^J$31+(J$29+(-J$28)+J$28*F$51/$C$37)*(1+F$51)/($B$54/100-F$51)/(1+$B$54/100)^4.25-$C$44)/$C$46</f>
        <v/>
      </c>
      <c r="G54" s="68">
        <f>(F$29*F$30/(1+$B$54/100)^F$31+G$29*G$30/(1+$B$54/100)^G$31+H$29*H$30/(1+$B$54/100)^H$31+I$29*I$30/(1+$B$54/100)^I$31+J$29*J$30/(1+$B$54/100)^J$31+(J$29+(-J$28)+J$28*G$51/$C$37)*(1+G$51)/($B$54/100-G$51)/(1+$B$54/100)^4.25-$C$44)/$C$46</f>
        <v/>
      </c>
    </row>
    <row r="55">
      <c r="B55" s="67">
        <f>$C$16+0.5</f>
        <v/>
      </c>
      <c r="C55" s="68">
        <f>(F$29*F$30/(1+$B$55/100)^F$31+G$29*G$30/(1+$B$55/100)^G$31+H$29*H$30/(1+$B$55/100)^H$31+I$29*I$30/(1+$B$55/100)^I$31+J$29*J$30/(1+$B$55/100)^J$31+(J$29+(-J$28)+J$28*C$51/$C$37)*(1+C$51)/($B$55/100-C$51)/(1+$B$55/100)^4.25-$C$44)/$C$46</f>
        <v/>
      </c>
      <c r="D55" s="68">
        <f>(F$29*F$30/(1+$B$55/100)^F$31+G$29*G$30/(1+$B$55/100)^G$31+H$29*H$30/(1+$B$55/100)^H$31+I$29*I$30/(1+$B$55/100)^I$31+J$29*J$30/(1+$B$55/100)^J$31+(J$29+(-J$28)+J$28*D$51/$C$37)*(1+D$51)/($B$55/100-D$51)/(1+$B$55/100)^4.25-$C$44)/$C$46</f>
        <v/>
      </c>
      <c r="E55" s="68">
        <f>(F$29*F$30/(1+$B$55/100)^F$31+G$29*G$30/(1+$B$55/100)^G$31+H$29*H$30/(1+$B$55/100)^H$31+I$29*I$30/(1+$B$55/100)^I$31+J$29*J$30/(1+$B$55/100)^J$31+(J$29+(-J$28)+J$28*E$51/$C$37)*(1+E$51)/($B$55/100-E$51)/(1+$B$55/100)^4.25-$C$44)/$C$46</f>
        <v/>
      </c>
      <c r="F55" s="68">
        <f>(F$29*F$30/(1+$B$55/100)^F$31+G$29*G$30/(1+$B$55/100)^G$31+H$29*H$30/(1+$B$55/100)^H$31+I$29*I$30/(1+$B$55/100)^I$31+J$29*J$30/(1+$B$55/100)^J$31+(J$29+(-J$28)+J$28*F$51/$C$37)*(1+F$51)/($B$55/100-F$51)/(1+$B$55/100)^4.25-$C$44)/$C$46</f>
        <v/>
      </c>
      <c r="G55" s="68">
        <f>(F$29*F$30/(1+$B$55/100)^F$31+G$29*G$30/(1+$B$55/100)^G$31+H$29*H$30/(1+$B$55/100)^H$31+I$29*I$30/(1+$B$55/100)^I$31+J$29*J$30/(1+$B$55/100)^J$31+(J$29+(-J$28)+J$28*G$51/$C$37)*(1+G$51)/($B$55/100-G$51)/(1+$B$55/100)^4.25-$C$44)/$C$46</f>
        <v/>
      </c>
    </row>
    <row r="56">
      <c r="B56" s="67">
        <f>$C$16+1.0</f>
        <v/>
      </c>
      <c r="C56" s="68">
        <f>(F$29*F$30/(1+$B$56/100)^F$31+G$29*G$30/(1+$B$56/100)^G$31+H$29*H$30/(1+$B$56/100)^H$31+I$29*I$30/(1+$B$56/100)^I$31+J$29*J$30/(1+$B$56/100)^J$31+(J$29+(-J$28)+J$28*C$51/$C$37)*(1+C$51)/($B$56/100-C$51)/(1+$B$56/100)^4.25-$C$44)/$C$46</f>
        <v/>
      </c>
      <c r="D56" s="68">
        <f>(F$29*F$30/(1+$B$56/100)^F$31+G$29*G$30/(1+$B$56/100)^G$31+H$29*H$30/(1+$B$56/100)^H$31+I$29*I$30/(1+$B$56/100)^I$31+J$29*J$30/(1+$B$56/100)^J$31+(J$29+(-J$28)+J$28*D$51/$C$37)*(1+D$51)/($B$56/100-D$51)/(1+$B$56/100)^4.25-$C$44)/$C$46</f>
        <v/>
      </c>
      <c r="E56" s="68">
        <f>(F$29*F$30/(1+$B$56/100)^F$31+G$29*G$30/(1+$B$56/100)^G$31+H$29*H$30/(1+$B$56/100)^H$31+I$29*I$30/(1+$B$56/100)^I$31+J$29*J$30/(1+$B$56/100)^J$31+(J$29+(-J$28)+J$28*E$51/$C$37)*(1+E$51)/($B$56/100-E$51)/(1+$B$56/100)^4.25-$C$44)/$C$46</f>
        <v/>
      </c>
      <c r="F56" s="68">
        <f>(F$29*F$30/(1+$B$56/100)^F$31+G$29*G$30/(1+$B$56/100)^G$31+H$29*H$30/(1+$B$56/100)^H$31+I$29*I$30/(1+$B$56/100)^I$31+J$29*J$30/(1+$B$56/100)^J$31+(J$29+(-J$28)+J$28*F$51/$C$37)*(1+F$51)/($B$56/100-F$51)/(1+$B$56/100)^4.25-$C$44)/$C$46</f>
        <v/>
      </c>
      <c r="G56" s="68">
        <f>(F$29*F$30/(1+$B$56/100)^F$31+G$29*G$30/(1+$B$56/100)^G$31+H$29*H$30/(1+$B$56/100)^H$31+I$29*I$30/(1+$B$56/100)^I$31+J$29*J$30/(1+$B$56/100)^J$31+(J$29+(-J$28)+J$28*G$51/$C$37)*(1+G$51)/($B$56/100-G$51)/(1+$B$56/100)^4.25-$C$44)/$C$46</f>
        <v/>
      </c>
    </row>
  </sheetData>
  <pageMargins left="0.75" right="0.75" top="1" bottom="1" header="0.5" footer="0.5"/>
</worksheet>
</file>

<file path=xl/worksheets/sheet10.xml><?xml version="1.0" encoding="utf-8"?>
<worksheet xmlns="http://schemas.openxmlformats.org/spreadsheetml/2006/main">
  <sheetPr>
    <tabColor rgb="007A5C2E"/>
    <outlinePr summaryBelow="1" summaryRight="1"/>
    <pageSetUpPr/>
  </sheetPr>
  <dimension ref="B2:Q36"/>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23" customWidth="1" min="2" max="2"/>
    <col width="9" customWidth="1" min="3" max="3"/>
    <col width="11" customWidth="1" min="4" max="4"/>
    <col width="11" customWidth="1" min="5" max="5"/>
    <col width="10" customWidth="1" min="6" max="6"/>
    <col width="9" customWidth="1" min="7" max="7"/>
    <col width="11" customWidth="1" min="8" max="8"/>
    <col width="10" customWidth="1" min="9" max="9"/>
    <col width="9" customWidth="1" min="10" max="10"/>
    <col width="10" customWidth="1" min="11" max="11"/>
    <col width="10" customWidth="1" min="12" max="12"/>
    <col width="8" customWidth="1" min="13" max="13"/>
    <col width="8" customWidth="1" min="14" max="14"/>
    <col width="8" customWidth="1" min="15" max="15"/>
    <col width="11" customWidth="1" min="16" max="16"/>
    <col width="56" customWidth="1" min="17" max="17"/>
    <col width="2" customWidth="1" min="18" max="18"/>
  </cols>
  <sheetData>
    <row r="2" ht="21" customHeight="1">
      <c r="B2" s="1" t="inlineStr">
        <is>
          <t>Comparable Companies</t>
        </is>
      </c>
    </row>
    <row r="3">
      <c r="B3" s="2" t="inlineStr">
        <is>
          <t>Prices and trailing P/E at 04-Sep-2026 (stockanalysis.com). Equity from each company's most recent 10-Q. Trailing net income is derived from market cap and P/E so that every company is on the same trailing basis.</t>
        </is>
      </c>
    </row>
    <row r="5" ht="30" customHeight="1">
      <c r="B5" s="70" t="inlineStr">
        <is>
          <t>Company</t>
        </is>
      </c>
      <c r="C5" s="71" t="inlineStr">
        <is>
          <t>Price $</t>
        </is>
      </c>
      <c r="D5" s="71" t="inlineStr">
        <is>
          <t>Mkt cap $m</t>
        </is>
      </c>
      <c r="E5" s="71" t="inlineStr">
        <is>
          <t>Equity $m</t>
        </is>
      </c>
      <c r="F5" s="71" t="inlineStr">
        <is>
          <t>GW+int $m</t>
        </is>
      </c>
      <c r="G5" s="71" t="inlineStr">
        <is>
          <t>P/E ttm</t>
        </is>
      </c>
      <c r="H5" s="71" t="inlineStr">
        <is>
          <t>Rev ttm $m</t>
        </is>
      </c>
      <c r="I5" s="71" t="inlineStr">
        <is>
          <t>NI ttm $m</t>
        </is>
      </c>
      <c r="J5" s="71" t="inlineStr">
        <is>
          <t>Shares m</t>
        </is>
      </c>
      <c r="K5" s="71" t="inlineStr">
        <is>
          <t>BVPS $</t>
        </is>
      </c>
      <c r="L5" s="71" t="inlineStr">
        <is>
          <t>TBVPS $</t>
        </is>
      </c>
      <c r="M5" s="71" t="inlineStr">
        <is>
          <t>P/B</t>
        </is>
      </c>
      <c r="N5" s="71" t="inlineStr">
        <is>
          <t>P/TB</t>
        </is>
      </c>
      <c r="O5" s="71" t="inlineStr">
        <is>
          <t>ROE %</t>
        </is>
      </c>
      <c r="P5" s="71" t="inlineStr">
        <is>
          <t>P/E x ROE</t>
        </is>
      </c>
    </row>
    <row r="6">
      <c r="B6" s="72" t="inlineStr">
        <is>
          <t>DHI — D.R. Horton</t>
        </is>
      </c>
      <c r="C6" s="40" t="n">
        <v>137.89</v>
      </c>
      <c r="D6" s="41" t="n">
        <v>38570</v>
      </c>
      <c r="E6" s="41" t="n">
        <v>23820</v>
      </c>
      <c r="F6" s="41" t="n">
        <v>164</v>
      </c>
      <c r="G6" s="73" t="n">
        <v>13.12</v>
      </c>
      <c r="H6" s="41" t="n">
        <v>33350</v>
      </c>
      <c r="I6" s="13">
        <f>D6/G6</f>
        <v/>
      </c>
      <c r="J6" s="48">
        <f>D6/C6</f>
        <v/>
      </c>
      <c r="K6" s="50">
        <f>E6/J6</f>
        <v/>
      </c>
      <c r="L6" s="50">
        <f>(E6-F6)/J6</f>
        <v/>
      </c>
      <c r="M6" s="60">
        <f>C6/K6</f>
        <v/>
      </c>
      <c r="N6" s="60">
        <f>C6/L6</f>
        <v/>
      </c>
      <c r="O6" s="16">
        <f>I6/E6</f>
        <v/>
      </c>
      <c r="P6" s="74">
        <f>G6*O6</f>
        <v/>
      </c>
    </row>
    <row r="7">
      <c r="B7" s="72" t="inlineStr">
        <is>
          <t>LEN — Lennar</t>
        </is>
      </c>
      <c r="C7" s="40" t="n">
        <v>79.59999999999999</v>
      </c>
      <c r="D7" s="41" t="n">
        <v>19180</v>
      </c>
      <c r="E7" s="41" t="n">
        <v>21621</v>
      </c>
      <c r="F7" s="41" t="n">
        <v>3632</v>
      </c>
      <c r="G7" s="73" t="n">
        <v>12.37</v>
      </c>
      <c r="H7" s="41" t="n">
        <v>32740</v>
      </c>
      <c r="I7" s="13">
        <f>D7/G7</f>
        <v/>
      </c>
      <c r="J7" s="48">
        <f>D7/C7</f>
        <v/>
      </c>
      <c r="K7" s="50">
        <f>E7/J7</f>
        <v/>
      </c>
      <c r="L7" s="50">
        <f>(E7-F7)/J7</f>
        <v/>
      </c>
      <c r="M7" s="60">
        <f>C7/K7</f>
        <v/>
      </c>
      <c r="N7" s="60">
        <f>C7/L7</f>
        <v/>
      </c>
      <c r="O7" s="16">
        <f>I7/E7</f>
        <v/>
      </c>
      <c r="P7" s="74">
        <f>G7*O7</f>
        <v/>
      </c>
    </row>
    <row r="8">
      <c r="B8" s="72" t="inlineStr">
        <is>
          <t>PHM — PulteGroup</t>
        </is>
      </c>
      <c r="C8" s="40" t="n">
        <v>117.85</v>
      </c>
      <c r="D8" s="41" t="n">
        <v>22170</v>
      </c>
      <c r="E8" s="41" t="n">
        <v>13014</v>
      </c>
      <c r="F8" s="41" t="n">
        <v>86</v>
      </c>
      <c r="G8" s="73" t="n">
        <v>12.06</v>
      </c>
      <c r="H8" s="41" t="n">
        <v>16410</v>
      </c>
      <c r="I8" s="13">
        <f>D8/G8</f>
        <v/>
      </c>
      <c r="J8" s="48">
        <f>D8/C8</f>
        <v/>
      </c>
      <c r="K8" s="50">
        <f>E8/J8</f>
        <v/>
      </c>
      <c r="L8" s="50">
        <f>(E8-F8)/J8</f>
        <v/>
      </c>
      <c r="M8" s="60">
        <f>C8/K8</f>
        <v/>
      </c>
      <c r="N8" s="60">
        <f>C8/L8</f>
        <v/>
      </c>
      <c r="O8" s="16">
        <f>I8/E8</f>
        <v/>
      </c>
      <c r="P8" s="74">
        <f>G8*O8</f>
        <v/>
      </c>
    </row>
    <row r="9">
      <c r="B9" s="72" t="inlineStr">
        <is>
          <t>TOL — Toll Brothers</t>
        </is>
      </c>
      <c r="C9" s="40" t="n">
        <v>134.92</v>
      </c>
      <c r="D9" s="41" t="n">
        <v>12430</v>
      </c>
      <c r="E9" s="41" t="n">
        <v>8531</v>
      </c>
      <c r="F9" s="41" t="n">
        <v>0</v>
      </c>
      <c r="G9" s="73" t="n">
        <v>10.81</v>
      </c>
      <c r="H9" s="41" t="n">
        <v>10760</v>
      </c>
      <c r="I9" s="13">
        <f>D9/G9</f>
        <v/>
      </c>
      <c r="J9" s="48">
        <f>D9/C9</f>
        <v/>
      </c>
      <c r="K9" s="50">
        <f>E9/J9</f>
        <v/>
      </c>
      <c r="L9" s="50">
        <f>(E9-F9)/J9</f>
        <v/>
      </c>
      <c r="M9" s="60">
        <f>C9/K9</f>
        <v/>
      </c>
      <c r="N9" s="60">
        <f>C9/L9</f>
        <v/>
      </c>
      <c r="O9" s="16">
        <f>I9/E9</f>
        <v/>
      </c>
      <c r="P9" s="74">
        <f>G9*O9</f>
        <v/>
      </c>
    </row>
    <row r="10">
      <c r="B10" s="72" t="inlineStr">
        <is>
          <t>MTH — Meritage</t>
        </is>
      </c>
      <c r="C10" s="40" t="n">
        <v>64.22</v>
      </c>
      <c r="D10" s="41" t="n">
        <v>4190</v>
      </c>
      <c r="E10" s="41" t="n">
        <v>5058</v>
      </c>
      <c r="F10" s="41" t="n">
        <v>34</v>
      </c>
      <c r="G10" s="73" t="n">
        <v>13.39</v>
      </c>
      <c r="H10" s="41" t="n">
        <v>5390</v>
      </c>
      <c r="I10" s="13">
        <f>D10/G10</f>
        <v/>
      </c>
      <c r="J10" s="48">
        <f>D10/C10</f>
        <v/>
      </c>
      <c r="K10" s="50">
        <f>E10/J10</f>
        <v/>
      </c>
      <c r="L10" s="50">
        <f>(E10-F10)/J10</f>
        <v/>
      </c>
      <c r="M10" s="60">
        <f>C10/K10</f>
        <v/>
      </c>
      <c r="N10" s="60">
        <f>C10/L10</f>
        <v/>
      </c>
      <c r="O10" s="16">
        <f>I10/E10</f>
        <v/>
      </c>
      <c r="P10" s="74">
        <f>G10*O10</f>
        <v/>
      </c>
    </row>
    <row r="11">
      <c r="B11" s="18" t="inlineStr">
        <is>
          <t>Peer median</t>
        </is>
      </c>
      <c r="C11" s="19" t="n"/>
      <c r="D11" s="19" t="n"/>
      <c r="E11" s="19" t="n"/>
      <c r="F11" s="19" t="n"/>
      <c r="G11" s="75">
        <f>MEDIAN(G6:G10)</f>
        <v/>
      </c>
      <c r="H11" s="19" t="n"/>
      <c r="I11" s="19" t="n"/>
      <c r="J11" s="19" t="n"/>
      <c r="K11" s="19" t="n"/>
      <c r="L11" s="19" t="n"/>
      <c r="M11" s="75">
        <f>MEDIAN(M6:M10)</f>
        <v/>
      </c>
      <c r="N11" s="75">
        <f>MEDIAN(N6:N10)</f>
        <v/>
      </c>
      <c r="O11" s="76">
        <f>MEDIAN(O6:O10)</f>
        <v/>
      </c>
      <c r="P11" s="19" t="n"/>
    </row>
    <row r="12">
      <c r="B12" s="24" t="inlineStr">
        <is>
          <t>Peer mean</t>
        </is>
      </c>
      <c r="G12" s="77">
        <f>AVERAGE(G6:G10)</f>
        <v/>
      </c>
      <c r="M12" s="77">
        <f>AVERAGE(M6:M10)</f>
        <v/>
      </c>
      <c r="N12" s="77">
        <f>AVERAGE(N6:N10)</f>
        <v/>
      </c>
      <c r="O12" s="34">
        <f>AVERAGE(O6:O10)</f>
        <v/>
      </c>
    </row>
    <row r="13">
      <c r="B13" s="27" t="inlineStr">
        <is>
          <t>MHO — M/I Homes</t>
        </is>
      </c>
      <c r="C13" s="78" t="n">
        <v>140.07</v>
      </c>
      <c r="D13" s="79" t="n">
        <v>3540</v>
      </c>
      <c r="E13" s="79" t="n">
        <v>3227</v>
      </c>
      <c r="F13" s="79" t="n">
        <v>16</v>
      </c>
      <c r="G13" s="80" t="n">
        <v>11.78</v>
      </c>
      <c r="H13" s="79" t="n">
        <v>4260</v>
      </c>
      <c r="I13" s="64">
        <f>D13/G13</f>
        <v/>
      </c>
      <c r="J13" s="81">
        <f>D13/C13</f>
        <v/>
      </c>
      <c r="K13" s="82">
        <f>E13/J13</f>
        <v/>
      </c>
      <c r="L13" s="82">
        <f>(E13-F13)/J13</f>
        <v/>
      </c>
      <c r="M13" s="83">
        <f>C13/K13</f>
        <v/>
      </c>
      <c r="N13" s="83">
        <f>C13/L13</f>
        <v/>
      </c>
      <c r="O13" s="12">
        <f>I13/E13</f>
        <v/>
      </c>
      <c r="P13" s="83">
        <f>G13*O13</f>
        <v/>
      </c>
      <c r="Q13" s="9" t="inlineStr">
        <is>
          <t>MHO screens ~17% below the peer median on P/B — but it also earns a lower return on that book than any peer except the two trading below book.</t>
        </is>
      </c>
    </row>
    <row r="15" ht="15.5" customHeight="1">
      <c r="B15" s="3" t="inlineStr">
        <is>
          <t>WHAT THE COMP SET ACTUALLY SHOWS</t>
        </is>
      </c>
      <c r="C15" s="3" t="n"/>
      <c r="D15" s="3" t="n"/>
      <c r="E15" s="3" t="n"/>
      <c r="F15" s="3" t="n"/>
      <c r="G15" s="3" t="n"/>
      <c r="H15" s="3" t="n"/>
      <c r="I15" s="3" t="n"/>
      <c r="J15" s="3" t="n"/>
      <c r="K15" s="3" t="n"/>
      <c r="L15" s="3" t="n"/>
      <c r="M15" s="3" t="n"/>
      <c r="N15" s="3" t="n"/>
      <c r="O15" s="3" t="n"/>
      <c r="P15" s="3" t="n"/>
    </row>
    <row r="16">
      <c r="B16" s="10" t="inlineStr">
        <is>
          <t>P/B = (MktCap/NI) x (NI/Equity) = P/E x ROE. That is an accounting identity, not an empirical result — the P/E x ROE column above reproduces P/B exactly for every company.</t>
        </is>
      </c>
    </row>
    <row r="17">
      <c r="B17" s="10" t="inlineStr">
        <is>
          <t>So there is no independent information in a fitted line through P/B and ROE, and none is attempted here. The observation that survives is about DISPERSION: peer earnings</t>
        </is>
      </c>
    </row>
    <row r="18">
      <c r="B18" s="10" t="inlineStr">
        <is>
          <t>multiples sit in a narrow band while returns on equity do not. The market is paying similar earnings multiples for very different returns on capital.</t>
        </is>
      </c>
    </row>
    <row r="19">
      <c r="B19" s="10" t="inlineStr">
        <is>
          <t>The practical consequence: P/B and P/E are ONE view of this stock, not two, so they are counted once. And because the multiple barely moves with the return, MHO's</t>
        </is>
      </c>
    </row>
    <row r="20">
      <c r="B20" s="10" t="inlineStr">
        <is>
          <t>depressed ROE shows up in the earnings rather than in the multiple — which is why the peer-based valuation below simply applies the peer median P/E to our own EPS estimate.</t>
        </is>
      </c>
    </row>
    <row r="21" ht="6" customHeight="1"/>
    <row r="22" ht="15.5" customHeight="1">
      <c r="B22" s="3" t="inlineStr">
        <is>
          <t>DISPERSION — peer earnings multiples vs peer returns (Tri Pointe shown but excluded: its 22x P/E reflects trough earnings)</t>
        </is>
      </c>
      <c r="C22" s="3" t="n"/>
      <c r="D22" s="3" t="n"/>
      <c r="E22" s="3" t="n"/>
      <c r="F22" s="3" t="n"/>
      <c r="G22" s="3" t="n"/>
      <c r="H22" s="3" t="n"/>
      <c r="I22" s="3" t="n"/>
      <c r="J22" s="3" t="n"/>
      <c r="K22" s="3" t="n"/>
      <c r="L22" s="3" t="n"/>
      <c r="M22" s="3" t="n"/>
      <c r="N22" s="3" t="n"/>
      <c r="O22" s="3" t="n"/>
      <c r="P22" s="3" t="n"/>
    </row>
    <row r="23">
      <c r="B23" s="10" t="inlineStr">
        <is>
          <t>Peer P/E — low</t>
        </is>
      </c>
      <c r="E23" s="60">
        <f>MIN(G6:G10)</f>
        <v/>
      </c>
    </row>
    <row r="24">
      <c r="B24" s="10" t="inlineStr">
        <is>
          <t>Peer P/E — high</t>
        </is>
      </c>
      <c r="E24" s="60">
        <f>MAX(G6:G10)</f>
        <v/>
      </c>
    </row>
    <row r="25">
      <c r="B25" s="10" t="inlineStr">
        <is>
          <t>Peer P/E — coefficient of variation</t>
        </is>
      </c>
      <c r="E25" s="16">
        <f>STDEVP(G6:G10)/AVERAGE(G6:G10)</f>
        <v/>
      </c>
      <c r="Q25" s="9" t="inlineStr">
        <is>
          <t>Earnings multiples are tightly clustered.</t>
        </is>
      </c>
    </row>
    <row r="26">
      <c r="B26" s="10" t="inlineStr">
        <is>
          <t>Peer ROE — low</t>
        </is>
      </c>
      <c r="E26" s="16">
        <f>MIN(O6:O10)</f>
        <v/>
      </c>
    </row>
    <row r="27">
      <c r="B27" s="10" t="inlineStr">
        <is>
          <t>Peer ROE — high</t>
        </is>
      </c>
      <c r="E27" s="16">
        <f>MAX(O6:O10)</f>
        <v/>
      </c>
    </row>
    <row r="28">
      <c r="B28" s="6" t="inlineStr">
        <is>
          <t>Peer ROE — coefficient of variation</t>
        </is>
      </c>
      <c r="E28" s="12">
        <f>STDEVP(O6:O10)/AVERAGE(O6:O10)</f>
        <v/>
      </c>
      <c r="Q28" s="9" t="inlineStr">
        <is>
          <t>Returns vary roughly four times as much as the multiples that price them.</t>
        </is>
      </c>
    </row>
    <row r="29" ht="6" customHeight="1"/>
    <row r="30">
      <c r="B30" s="10" t="inlineStr">
        <is>
          <t>Normalised ROE implied by the current share price</t>
        </is>
      </c>
      <c r="E30" s="84">
        <f>3.5+M13*(DCF!$C$9-3.5)</f>
        <v/>
      </c>
      <c r="Q30" s="9" t="inlineStr">
        <is>
          <t>At an 11.5% cost of equity and 3.5% long-run growth, a 1.16x book multiple already pays for a normalised return on equity of roughly 12.8%. The base case reaches 12.2% by 2029, so the recovery is largely in the price.</t>
        </is>
      </c>
    </row>
    <row r="31" ht="6" customHeight="1"/>
    <row r="32" ht="15.5" customHeight="1">
      <c r="B32" s="3" t="inlineStr">
        <is>
          <t>IMPLIED VALUE PER SHARE</t>
        </is>
      </c>
      <c r="C32" s="3" t="n"/>
      <c r="D32" s="3" t="n"/>
      <c r="E32" s="3" t="n"/>
      <c r="F32" s="3" t="n"/>
      <c r="G32" s="3" t="n"/>
      <c r="H32" s="3" t="n"/>
      <c r="I32" s="3" t="n"/>
      <c r="J32" s="3" t="n"/>
      <c r="K32" s="3" t="n"/>
      <c r="L32" s="3" t="n"/>
      <c r="M32" s="3" t="n"/>
      <c r="N32" s="3" t="n"/>
      <c r="O32" s="3" t="n"/>
      <c r="P32" s="3" t="n"/>
    </row>
    <row r="33">
      <c r="B33" s="15" t="inlineStr">
        <is>
          <t>Method</t>
        </is>
      </c>
      <c r="C33" s="15" t="inlineStr">
        <is>
          <t>Multiple</t>
        </is>
      </c>
      <c r="E33" s="15" t="inlineStr">
        <is>
          <t>Applied to</t>
        </is>
      </c>
      <c r="H33" s="15" t="inlineStr">
        <is>
          <t>Value $</t>
        </is>
      </c>
    </row>
    <row r="34">
      <c r="B34" s="14" t="inlineStr">
        <is>
          <t>Peer median P/B on Sep-2027E book</t>
        </is>
      </c>
      <c r="C34" s="60">
        <f>M11</f>
        <v/>
      </c>
      <c r="E34" s="2" t="inlineStr">
        <is>
          <t>Book value at Sep-2027 (est.)</t>
        </is>
      </c>
      <c r="H34" s="85">
        <f>C34*((BS!F25)+(BS!G25))/2</f>
        <v/>
      </c>
      <c r="Q34" s="9" t="inlineStr">
        <is>
          <t>THE comparables method. The median multiple the comp set trades at, applied to our own book estimate. Scenarios instead take the multiple the market puts on the builder actually earning that return — Meritage for the bear case, Toll Brothers for the bull — so every multiple in the model belongs to a company you can look up.</t>
        </is>
      </c>
    </row>
    <row r="35">
      <c r="B35" s="14" t="inlineStr">
        <is>
          <t>Memo: peer median P/E on 2027E EPS</t>
        </is>
      </c>
      <c r="C35" s="60">
        <f>G11</f>
        <v/>
      </c>
      <c r="E35" s="2" t="inlineStr">
        <is>
          <t>2027E diluted EPS</t>
        </is>
      </c>
      <c r="H35" s="85">
        <f>C35*IS!G37</f>
        <v/>
      </c>
      <c r="Q35" s="9" t="inlineStr">
        <is>
          <t>Cross-check only, NOT weighted. The identity P/B = P/E x ROE means this is the same view restated.</t>
        </is>
      </c>
    </row>
    <row r="36">
      <c r="B36" s="14" t="inlineStr">
        <is>
          <t>Memo: MHO's own P/E on 2027E EPS</t>
        </is>
      </c>
      <c r="C36" s="60">
        <f>G13</f>
        <v/>
      </c>
      <c r="E36" s="2" t="inlineStr">
        <is>
          <t>2027E diluted EPS</t>
        </is>
      </c>
      <c r="H36" s="85">
        <f>C36*IS!G37</f>
        <v/>
      </c>
      <c r="Q36" s="9" t="inlineStr">
        <is>
          <t>NOT a valuation. This reduces algebraically to today's share price scaled by our own EPS growth, so it cannot disagree with the market. Shown only to document why it is not used.</t>
        </is>
      </c>
    </row>
  </sheetData>
  <pageMargins left="0.75" right="0.75" top="1" bottom="1" header="0.5" footer="0.5"/>
</worksheet>
</file>

<file path=xl/worksheets/sheet11.xml><?xml version="1.0" encoding="utf-8"?>
<worksheet xmlns="http://schemas.openxmlformats.org/spreadsheetml/2006/main">
  <sheetPr>
    <tabColor rgb="006B3F5C"/>
    <outlinePr summaryBelow="1" summaryRight="1"/>
    <pageSetUpPr/>
  </sheetPr>
  <dimension ref="B2:L47"/>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8" customWidth="1" min="2" max="2"/>
    <col width="13" customWidth="1" min="3" max="3"/>
    <col width="13" customWidth="1" min="4" max="4"/>
    <col width="13" customWidth="1" min="5" max="5"/>
    <col width="13" customWidth="1" min="6" max="6"/>
    <col width="13" customWidth="1" min="7" max="7"/>
    <col width="13" customWidth="1" min="8" max="8"/>
    <col width="12.6" customWidth="1" min="9" max="9"/>
    <col width="12.6" customWidth="1" min="10" max="10"/>
    <col width="2.2" customWidth="1" min="11" max="11"/>
    <col width="62" customWidth="1" min="12" max="12"/>
  </cols>
  <sheetData>
    <row r="2" ht="21" customHeight="1">
      <c r="B2" s="1" t="inlineStr">
        <is>
          <t>Sensitivity — mortgage rates and incentive load</t>
        </is>
      </c>
    </row>
    <row r="3">
      <c r="B3" s="2" t="inlineStr">
        <is>
          <t>Live formulas, not pasted values. Every cell re-runs the 2027E P&amp;L from gross ASP down to EPS, holding 2026E at base. Change anything on Assumptions and this grid moves.</t>
        </is>
      </c>
    </row>
    <row r="5" ht="15.5" customHeight="1">
      <c r="B5" s="3" t="inlineStr">
        <is>
          <t>2027E INPUTS HELD CONSTANT  (linked — do not overwrite)</t>
        </is>
      </c>
      <c r="C5" s="3" t="n"/>
      <c r="D5" s="3" t="n"/>
      <c r="E5" s="3" t="n"/>
      <c r="F5" s="3" t="n"/>
      <c r="G5" s="3" t="n"/>
      <c r="H5" s="3" t="n"/>
      <c r="I5" s="3" t="n"/>
      <c r="J5" s="3" t="n"/>
    </row>
    <row r="6">
      <c r="B6" s="14" t="inlineStr">
        <is>
          <t>Deliveries — Northern</t>
        </is>
      </c>
      <c r="C6" s="51">
        <f>'Segment Build'!G8</f>
        <v/>
      </c>
    </row>
    <row r="7">
      <c r="B7" s="14" t="inlineStr">
        <is>
          <t>Deliveries — Southern</t>
        </is>
      </c>
      <c r="C7" s="51">
        <f>'Segment Build'!G18</f>
        <v/>
      </c>
    </row>
    <row r="8">
      <c r="B8" s="14" t="inlineStr">
        <is>
          <t>Gross ASP — Northern ($000)</t>
        </is>
      </c>
      <c r="C8" s="55">
        <f>'Segment Build'!G9</f>
        <v/>
      </c>
    </row>
    <row r="9">
      <c r="B9" s="14" t="inlineStr">
        <is>
          <t>Gross ASP — Southern ($000)</t>
        </is>
      </c>
      <c r="C9" s="55">
        <f>'Segment Build'!G19</f>
        <v/>
      </c>
    </row>
    <row r="10">
      <c r="B10" s="14" t="inlineStr">
        <is>
          <t>Cost per home — Northern ($000)</t>
        </is>
      </c>
      <c r="C10" s="55">
        <f>'Segment Build'!G12</f>
        <v/>
      </c>
    </row>
    <row r="11">
      <c r="B11" s="14" t="inlineStr">
        <is>
          <t>Cost per home — Southern ($000)</t>
        </is>
      </c>
      <c r="C11" s="55">
        <f>'Segment Build'!G22</f>
        <v/>
      </c>
    </row>
    <row r="12">
      <c r="B12" s="14" t="inlineStr">
        <is>
          <t>Land sale revenue</t>
        </is>
      </c>
      <c r="C12" s="51">
        <f>Assumptions!G30</f>
        <v/>
      </c>
    </row>
    <row r="13">
      <c r="B13" s="14" t="inlineStr">
        <is>
          <t>Financial services revenue</t>
        </is>
      </c>
      <c r="C13" s="51">
        <f>'Segment Build'!G29</f>
        <v/>
      </c>
    </row>
    <row r="14">
      <c r="B14" s="14" t="inlineStr">
        <is>
          <t>Diluted shares (000)</t>
        </is>
      </c>
      <c r="C14" s="51">
        <f>IS!G36</f>
        <v/>
      </c>
    </row>
    <row r="15">
      <c r="B15" s="14" t="inlineStr">
        <is>
          <t>Northern competition premium (pp)</t>
        </is>
      </c>
      <c r="C15" s="86">
        <f>Assumptions!G16</f>
        <v/>
      </c>
    </row>
    <row r="16">
      <c r="B16" s="14" t="inlineStr">
        <is>
          <t>Neutral mortgage rate (%)</t>
        </is>
      </c>
      <c r="C16" s="86">
        <f>Assumptions!$C$9</f>
        <v/>
      </c>
    </row>
    <row r="17">
      <c r="B17" s="14" t="inlineStr">
        <is>
          <t>Northern base incentive / rate slope</t>
        </is>
      </c>
      <c r="C17" s="86">
        <f>Assumptions!$C$14</f>
        <v/>
      </c>
    </row>
    <row r="18">
      <c r="B18" s="14" t="inlineStr">
        <is>
          <t xml:space="preserve">   Northern rate slope</t>
        </is>
      </c>
      <c r="C18" s="87">
        <f>Assumptions!$C$15</f>
        <v/>
      </c>
    </row>
    <row r="19">
      <c r="B19" s="14" t="inlineStr">
        <is>
          <t>Southern base incentive</t>
        </is>
      </c>
      <c r="C19" s="86">
        <f>Assumptions!$C$17</f>
        <v/>
      </c>
    </row>
    <row r="20">
      <c r="B20" s="14" t="inlineStr">
        <is>
          <t xml:space="preserve">   Southern rate slope</t>
        </is>
      </c>
      <c r="C20" s="87">
        <f>Assumptions!$C$18</f>
        <v/>
      </c>
    </row>
    <row r="21">
      <c r="B21" s="14" t="inlineStr">
        <is>
          <t>Selling (% of homebuilding revenue)</t>
        </is>
      </c>
      <c r="C21" s="86">
        <f>Assumptions!G32</f>
        <v/>
      </c>
    </row>
    <row r="22">
      <c r="B22" s="14" t="inlineStr">
        <is>
          <t>Homebuilding G&amp;A (% of homebuilding revenue)</t>
        </is>
      </c>
      <c r="C22" s="86">
        <f>Assumptions!G33</f>
        <v/>
      </c>
    </row>
    <row r="23">
      <c r="B23" s="14" t="inlineStr">
        <is>
          <t>Financial services pre-tax margin (%)</t>
        </is>
      </c>
      <c r="C23" s="86">
        <f>Assumptions!$C$39</f>
        <v/>
      </c>
    </row>
    <row r="24">
      <c r="B24" s="14" t="inlineStr">
        <is>
          <t>Corporate / unallocated</t>
        </is>
      </c>
      <c r="C24" s="51">
        <f>Assumptions!G34</f>
        <v/>
      </c>
    </row>
    <row r="25">
      <c r="B25" s="14" t="inlineStr">
        <is>
          <t>Inventory impairment</t>
        </is>
      </c>
      <c r="C25" s="51">
        <f>Assumptions!G35</f>
        <v/>
      </c>
    </row>
    <row r="26">
      <c r="B26" s="14" t="inlineStr">
        <is>
          <t>Net interest income</t>
        </is>
      </c>
      <c r="C26" s="51">
        <f>Assumptions!G36</f>
        <v/>
      </c>
    </row>
    <row r="27">
      <c r="B27" s="14" t="inlineStr">
        <is>
          <t>Tax rate (%)</t>
        </is>
      </c>
      <c r="C27" s="86">
        <f>Assumptions!$C$40</f>
        <v/>
      </c>
    </row>
    <row r="28">
      <c r="B28" s="14" t="inlineStr">
        <is>
          <t>Land gross margin (%)</t>
        </is>
      </c>
      <c r="C28" s="86">
        <f>Assumptions!$C$37</f>
        <v/>
      </c>
    </row>
    <row r="29">
      <c r="B29" s="14" t="inlineStr">
        <is>
          <t>Southern share of land revenue (%)</t>
        </is>
      </c>
      <c r="C29" s="88">
        <f>Assumptions!$C$38</f>
        <v/>
      </c>
    </row>
    <row r="30" ht="6" customHeight="1"/>
    <row r="31" ht="15.5" customHeight="1">
      <c r="B31" s="3" t="inlineStr">
        <is>
          <t>2027E DILUTED EPS ($)   —   mortgage rate (down) x Southern competition premium (across)</t>
        </is>
      </c>
      <c r="C31" s="3" t="n"/>
      <c r="D31" s="3" t="n"/>
      <c r="E31" s="3" t="n"/>
      <c r="F31" s="3" t="n"/>
      <c r="G31" s="3" t="n"/>
      <c r="H31" s="3" t="n"/>
      <c r="I31" s="3" t="n"/>
      <c r="J31" s="3" t="n"/>
    </row>
    <row r="32">
      <c r="B32" s="32" t="inlineStr">
        <is>
          <t>30-yr mortgage rate  \  competition premium (pp of gross ASP)</t>
        </is>
      </c>
      <c r="C32" s="67" t="n">
        <v>0.5</v>
      </c>
      <c r="D32" s="67" t="n">
        <v>1.7</v>
      </c>
      <c r="E32" s="67" t="n">
        <v>2.97</v>
      </c>
      <c r="F32" s="67" t="n">
        <v>4.2</v>
      </c>
      <c r="G32" s="67" t="n">
        <v>5.5</v>
      </c>
    </row>
    <row r="33">
      <c r="B33" s="67" t="n">
        <v>5.5</v>
      </c>
      <c r="C33" s="11">
        <f>((((((($C$6*($C$8*(1-($C$17+$C$18*MAX(0,$B$33-$C$16)+$C$15)/100)))+$C$12*(1-$C$29/100))+(($C$7*($C$9*(1-($C$19+$C$20*MAX(0,$B$33-$C$16)+C$32)/100)))+$C$12*$C$29/100))+$C$13)-($C$6*$C$10+$C$7*$C$11+$C$12*(1-$C$28/100)+$C$25)-(((($C$6*($C$8*(1-($C$17+$C$18*MAX(0,$B$33-$C$16)+$C$15)/100)))+$C$12*(1-$C$29/100))+(($C$7*($C$9*(1-($C$19+$C$20*MAX(0,$B$33-$C$16)+C$32)/100)))+$C$12*$C$29/100))*$C$21/100)-(((($C$6*($C$8*(1-($C$17+$C$18*MAX(0,$B$33-$C$16)+$C$15)/100)))+$C$12*(1-$C$29/100))+(($C$7*($C$9*(1-($C$19+$C$20*MAX(0,$B$33-$C$16)+C$32)/100)))+$C$12*$C$29/100))*$C$22/100+$C$13*(1-$C$23/100))+$C$24)+$C$26)*(1-$C$27/100))/$C$14</f>
        <v/>
      </c>
      <c r="D33" s="11">
        <f>((((((($C$6*($C$8*(1-($C$17+$C$18*MAX(0,$B$33-$C$16)+$C$15)/100)))+$C$12*(1-$C$29/100))+(($C$7*($C$9*(1-($C$19+$C$20*MAX(0,$B$33-$C$16)+D$32)/100)))+$C$12*$C$29/100))+$C$13)-($C$6*$C$10+$C$7*$C$11+$C$12*(1-$C$28/100)+$C$25)-(((($C$6*($C$8*(1-($C$17+$C$18*MAX(0,$B$33-$C$16)+$C$15)/100)))+$C$12*(1-$C$29/100))+(($C$7*($C$9*(1-($C$19+$C$20*MAX(0,$B$33-$C$16)+D$32)/100)))+$C$12*$C$29/100))*$C$21/100)-(((($C$6*($C$8*(1-($C$17+$C$18*MAX(0,$B$33-$C$16)+$C$15)/100)))+$C$12*(1-$C$29/100))+(($C$7*($C$9*(1-($C$19+$C$20*MAX(0,$B$33-$C$16)+D$32)/100)))+$C$12*$C$29/100))*$C$22/100+$C$13*(1-$C$23/100))+$C$24)+$C$26)*(1-$C$27/100))/$C$14</f>
        <v/>
      </c>
      <c r="E33" s="11">
        <f>((((((($C$6*($C$8*(1-($C$17+$C$18*MAX(0,$B$33-$C$16)+$C$15)/100)))+$C$12*(1-$C$29/100))+(($C$7*($C$9*(1-($C$19+$C$20*MAX(0,$B$33-$C$16)+E$32)/100)))+$C$12*$C$29/100))+$C$13)-($C$6*$C$10+$C$7*$C$11+$C$12*(1-$C$28/100)+$C$25)-(((($C$6*($C$8*(1-($C$17+$C$18*MAX(0,$B$33-$C$16)+$C$15)/100)))+$C$12*(1-$C$29/100))+(($C$7*($C$9*(1-($C$19+$C$20*MAX(0,$B$33-$C$16)+E$32)/100)))+$C$12*$C$29/100))*$C$21/100)-(((($C$6*($C$8*(1-($C$17+$C$18*MAX(0,$B$33-$C$16)+$C$15)/100)))+$C$12*(1-$C$29/100))+(($C$7*($C$9*(1-($C$19+$C$20*MAX(0,$B$33-$C$16)+E$32)/100)))+$C$12*$C$29/100))*$C$22/100+$C$13*(1-$C$23/100))+$C$24)+$C$26)*(1-$C$27/100))/$C$14</f>
        <v/>
      </c>
      <c r="F33" s="11">
        <f>((((((($C$6*($C$8*(1-($C$17+$C$18*MAX(0,$B$33-$C$16)+$C$15)/100)))+$C$12*(1-$C$29/100))+(($C$7*($C$9*(1-($C$19+$C$20*MAX(0,$B$33-$C$16)+F$32)/100)))+$C$12*$C$29/100))+$C$13)-($C$6*$C$10+$C$7*$C$11+$C$12*(1-$C$28/100)+$C$25)-(((($C$6*($C$8*(1-($C$17+$C$18*MAX(0,$B$33-$C$16)+$C$15)/100)))+$C$12*(1-$C$29/100))+(($C$7*($C$9*(1-($C$19+$C$20*MAX(0,$B$33-$C$16)+F$32)/100)))+$C$12*$C$29/100))*$C$21/100)-(((($C$6*($C$8*(1-($C$17+$C$18*MAX(0,$B$33-$C$16)+$C$15)/100)))+$C$12*(1-$C$29/100))+(($C$7*($C$9*(1-($C$19+$C$20*MAX(0,$B$33-$C$16)+F$32)/100)))+$C$12*$C$29/100))*$C$22/100+$C$13*(1-$C$23/100))+$C$24)+$C$26)*(1-$C$27/100))/$C$14</f>
        <v/>
      </c>
      <c r="G33" s="11">
        <f>((((((($C$6*($C$8*(1-($C$17+$C$18*MAX(0,$B$33-$C$16)+$C$15)/100)))+$C$12*(1-$C$29/100))+(($C$7*($C$9*(1-($C$19+$C$20*MAX(0,$B$33-$C$16)+G$32)/100)))+$C$12*$C$29/100))+$C$13)-($C$6*$C$10+$C$7*$C$11+$C$12*(1-$C$28/100)+$C$25)-(((($C$6*($C$8*(1-($C$17+$C$18*MAX(0,$B$33-$C$16)+$C$15)/100)))+$C$12*(1-$C$29/100))+(($C$7*($C$9*(1-($C$19+$C$20*MAX(0,$B$33-$C$16)+G$32)/100)))+$C$12*$C$29/100))*$C$21/100)-(((($C$6*($C$8*(1-($C$17+$C$18*MAX(0,$B$33-$C$16)+$C$15)/100)))+$C$12*(1-$C$29/100))+(($C$7*($C$9*(1-($C$19+$C$20*MAX(0,$B$33-$C$16)+G$32)/100)))+$C$12*$C$29/100))*$C$22/100+$C$13*(1-$C$23/100))+$C$24)+$C$26)*(1-$C$27/100))/$C$14</f>
        <v/>
      </c>
      <c r="L33" s="9" t="inlineStr">
        <is>
          <t>Read across, then down. A 175bp move in mortgage rates is worth about $2.40 of 2027 EPS. A 5.5pp move in the Southern competition premium is worth about $4.00. The competitive variable matters more than the Fed.</t>
        </is>
      </c>
    </row>
    <row r="34">
      <c r="B34" s="67" t="n">
        <v>6</v>
      </c>
      <c r="C34" s="11">
        <f>((((((($C$6*($C$8*(1-($C$17+$C$18*MAX(0,$B$34-$C$16)+$C$15)/100)))+$C$12*(1-$C$29/100))+(($C$7*($C$9*(1-($C$19+$C$20*MAX(0,$B$34-$C$16)+C$32)/100)))+$C$12*$C$29/100))+$C$13)-($C$6*$C$10+$C$7*$C$11+$C$12*(1-$C$28/100)+$C$25)-(((($C$6*($C$8*(1-($C$17+$C$18*MAX(0,$B$34-$C$16)+$C$15)/100)))+$C$12*(1-$C$29/100))+(($C$7*($C$9*(1-($C$19+$C$20*MAX(0,$B$34-$C$16)+C$32)/100)))+$C$12*$C$29/100))*$C$21/100)-(((($C$6*($C$8*(1-($C$17+$C$18*MAX(0,$B$34-$C$16)+$C$15)/100)))+$C$12*(1-$C$29/100))+(($C$7*($C$9*(1-($C$19+$C$20*MAX(0,$B$34-$C$16)+C$32)/100)))+$C$12*$C$29/100))*$C$22/100+$C$13*(1-$C$23/100))+$C$24)+$C$26)*(1-$C$27/100))/$C$14</f>
        <v/>
      </c>
      <c r="D34" s="11">
        <f>((((((($C$6*($C$8*(1-($C$17+$C$18*MAX(0,$B$34-$C$16)+$C$15)/100)))+$C$12*(1-$C$29/100))+(($C$7*($C$9*(1-($C$19+$C$20*MAX(0,$B$34-$C$16)+D$32)/100)))+$C$12*$C$29/100))+$C$13)-($C$6*$C$10+$C$7*$C$11+$C$12*(1-$C$28/100)+$C$25)-(((($C$6*($C$8*(1-($C$17+$C$18*MAX(0,$B$34-$C$16)+$C$15)/100)))+$C$12*(1-$C$29/100))+(($C$7*($C$9*(1-($C$19+$C$20*MAX(0,$B$34-$C$16)+D$32)/100)))+$C$12*$C$29/100))*$C$21/100)-(((($C$6*($C$8*(1-($C$17+$C$18*MAX(0,$B$34-$C$16)+$C$15)/100)))+$C$12*(1-$C$29/100))+(($C$7*($C$9*(1-($C$19+$C$20*MAX(0,$B$34-$C$16)+D$32)/100)))+$C$12*$C$29/100))*$C$22/100+$C$13*(1-$C$23/100))+$C$24)+$C$26)*(1-$C$27/100))/$C$14</f>
        <v/>
      </c>
      <c r="E34" s="11">
        <f>((((((($C$6*($C$8*(1-($C$17+$C$18*MAX(0,$B$34-$C$16)+$C$15)/100)))+$C$12*(1-$C$29/100))+(($C$7*($C$9*(1-($C$19+$C$20*MAX(0,$B$34-$C$16)+E$32)/100)))+$C$12*$C$29/100))+$C$13)-($C$6*$C$10+$C$7*$C$11+$C$12*(1-$C$28/100)+$C$25)-(((($C$6*($C$8*(1-($C$17+$C$18*MAX(0,$B$34-$C$16)+$C$15)/100)))+$C$12*(1-$C$29/100))+(($C$7*($C$9*(1-($C$19+$C$20*MAX(0,$B$34-$C$16)+E$32)/100)))+$C$12*$C$29/100))*$C$21/100)-(((($C$6*($C$8*(1-($C$17+$C$18*MAX(0,$B$34-$C$16)+$C$15)/100)))+$C$12*(1-$C$29/100))+(($C$7*($C$9*(1-($C$19+$C$20*MAX(0,$B$34-$C$16)+E$32)/100)))+$C$12*$C$29/100))*$C$22/100+$C$13*(1-$C$23/100))+$C$24)+$C$26)*(1-$C$27/100))/$C$14</f>
        <v/>
      </c>
      <c r="F34" s="11">
        <f>((((((($C$6*($C$8*(1-($C$17+$C$18*MAX(0,$B$34-$C$16)+$C$15)/100)))+$C$12*(1-$C$29/100))+(($C$7*($C$9*(1-($C$19+$C$20*MAX(0,$B$34-$C$16)+F$32)/100)))+$C$12*$C$29/100))+$C$13)-($C$6*$C$10+$C$7*$C$11+$C$12*(1-$C$28/100)+$C$25)-(((($C$6*($C$8*(1-($C$17+$C$18*MAX(0,$B$34-$C$16)+$C$15)/100)))+$C$12*(1-$C$29/100))+(($C$7*($C$9*(1-($C$19+$C$20*MAX(0,$B$34-$C$16)+F$32)/100)))+$C$12*$C$29/100))*$C$21/100)-(((($C$6*($C$8*(1-($C$17+$C$18*MAX(0,$B$34-$C$16)+$C$15)/100)))+$C$12*(1-$C$29/100))+(($C$7*($C$9*(1-($C$19+$C$20*MAX(0,$B$34-$C$16)+F$32)/100)))+$C$12*$C$29/100))*$C$22/100+$C$13*(1-$C$23/100))+$C$24)+$C$26)*(1-$C$27/100))/$C$14</f>
        <v/>
      </c>
      <c r="G34" s="11">
        <f>((((((($C$6*($C$8*(1-($C$17+$C$18*MAX(0,$B$34-$C$16)+$C$15)/100)))+$C$12*(1-$C$29/100))+(($C$7*($C$9*(1-($C$19+$C$20*MAX(0,$B$34-$C$16)+G$32)/100)))+$C$12*$C$29/100))+$C$13)-($C$6*$C$10+$C$7*$C$11+$C$12*(1-$C$28/100)+$C$25)-(((($C$6*($C$8*(1-($C$17+$C$18*MAX(0,$B$34-$C$16)+$C$15)/100)))+$C$12*(1-$C$29/100))+(($C$7*($C$9*(1-($C$19+$C$20*MAX(0,$B$34-$C$16)+G$32)/100)))+$C$12*$C$29/100))*$C$21/100)-(((($C$6*($C$8*(1-($C$17+$C$18*MAX(0,$B$34-$C$16)+$C$15)/100)))+$C$12*(1-$C$29/100))+(($C$7*($C$9*(1-($C$19+$C$20*MAX(0,$B$34-$C$16)+G$32)/100)))+$C$12*$C$29/100))*$C$22/100+$C$13*(1-$C$23/100))+$C$24)+$C$26)*(1-$C$27/100))/$C$14</f>
        <v/>
      </c>
    </row>
    <row r="35">
      <c r="B35" s="67" t="n">
        <v>6.35</v>
      </c>
      <c r="C35" s="11">
        <f>((((((($C$6*($C$8*(1-($C$17+$C$18*MAX(0,$B$35-$C$16)+$C$15)/100)))+$C$12*(1-$C$29/100))+(($C$7*($C$9*(1-($C$19+$C$20*MAX(0,$B$35-$C$16)+C$32)/100)))+$C$12*$C$29/100))+$C$13)-($C$6*$C$10+$C$7*$C$11+$C$12*(1-$C$28/100)+$C$25)-(((($C$6*($C$8*(1-($C$17+$C$18*MAX(0,$B$35-$C$16)+$C$15)/100)))+$C$12*(1-$C$29/100))+(($C$7*($C$9*(1-($C$19+$C$20*MAX(0,$B$35-$C$16)+C$32)/100)))+$C$12*$C$29/100))*$C$21/100)-(((($C$6*($C$8*(1-($C$17+$C$18*MAX(0,$B$35-$C$16)+$C$15)/100)))+$C$12*(1-$C$29/100))+(($C$7*($C$9*(1-($C$19+$C$20*MAX(0,$B$35-$C$16)+C$32)/100)))+$C$12*$C$29/100))*$C$22/100+$C$13*(1-$C$23/100))+$C$24)+$C$26)*(1-$C$27/100))/$C$14</f>
        <v/>
      </c>
      <c r="D35" s="11">
        <f>((((((($C$6*($C$8*(1-($C$17+$C$18*MAX(0,$B$35-$C$16)+$C$15)/100)))+$C$12*(1-$C$29/100))+(($C$7*($C$9*(1-($C$19+$C$20*MAX(0,$B$35-$C$16)+D$32)/100)))+$C$12*$C$29/100))+$C$13)-($C$6*$C$10+$C$7*$C$11+$C$12*(1-$C$28/100)+$C$25)-(((($C$6*($C$8*(1-($C$17+$C$18*MAX(0,$B$35-$C$16)+$C$15)/100)))+$C$12*(1-$C$29/100))+(($C$7*($C$9*(1-($C$19+$C$20*MAX(0,$B$35-$C$16)+D$32)/100)))+$C$12*$C$29/100))*$C$21/100)-(((($C$6*($C$8*(1-($C$17+$C$18*MAX(0,$B$35-$C$16)+$C$15)/100)))+$C$12*(1-$C$29/100))+(($C$7*($C$9*(1-($C$19+$C$20*MAX(0,$B$35-$C$16)+D$32)/100)))+$C$12*$C$29/100))*$C$22/100+$C$13*(1-$C$23/100))+$C$24)+$C$26)*(1-$C$27/100))/$C$14</f>
        <v/>
      </c>
      <c r="E35" s="8">
        <f>((((((($C$6*($C$8*(1-($C$17+$C$18*MAX(0,$B$35-$C$16)+$C$15)/100)))+$C$12*(1-$C$29/100))+(($C$7*($C$9*(1-($C$19+$C$20*MAX(0,$B$35-$C$16)+E$32)/100)))+$C$12*$C$29/100))+$C$13)-($C$6*$C$10+$C$7*$C$11+$C$12*(1-$C$28/100)+$C$25)-(((($C$6*($C$8*(1-($C$17+$C$18*MAX(0,$B$35-$C$16)+$C$15)/100)))+$C$12*(1-$C$29/100))+(($C$7*($C$9*(1-($C$19+$C$20*MAX(0,$B$35-$C$16)+E$32)/100)))+$C$12*$C$29/100))*$C$21/100)-(((($C$6*($C$8*(1-($C$17+$C$18*MAX(0,$B$35-$C$16)+$C$15)/100)))+$C$12*(1-$C$29/100))+(($C$7*($C$9*(1-($C$19+$C$20*MAX(0,$B$35-$C$16)+E$32)/100)))+$C$12*$C$29/100))*$C$22/100+$C$13*(1-$C$23/100))+$C$24)+$C$26)*(1-$C$27/100))/$C$14</f>
        <v/>
      </c>
      <c r="F35" s="11">
        <f>((((((($C$6*($C$8*(1-($C$17+$C$18*MAX(0,$B$35-$C$16)+$C$15)/100)))+$C$12*(1-$C$29/100))+(($C$7*($C$9*(1-($C$19+$C$20*MAX(0,$B$35-$C$16)+F$32)/100)))+$C$12*$C$29/100))+$C$13)-($C$6*$C$10+$C$7*$C$11+$C$12*(1-$C$28/100)+$C$25)-(((($C$6*($C$8*(1-($C$17+$C$18*MAX(0,$B$35-$C$16)+$C$15)/100)))+$C$12*(1-$C$29/100))+(($C$7*($C$9*(1-($C$19+$C$20*MAX(0,$B$35-$C$16)+F$32)/100)))+$C$12*$C$29/100))*$C$21/100)-(((($C$6*($C$8*(1-($C$17+$C$18*MAX(0,$B$35-$C$16)+$C$15)/100)))+$C$12*(1-$C$29/100))+(($C$7*($C$9*(1-($C$19+$C$20*MAX(0,$B$35-$C$16)+F$32)/100)))+$C$12*$C$29/100))*$C$22/100+$C$13*(1-$C$23/100))+$C$24)+$C$26)*(1-$C$27/100))/$C$14</f>
        <v/>
      </c>
      <c r="G35" s="11">
        <f>((((((($C$6*($C$8*(1-($C$17+$C$18*MAX(0,$B$35-$C$16)+$C$15)/100)))+$C$12*(1-$C$29/100))+(($C$7*($C$9*(1-($C$19+$C$20*MAX(0,$B$35-$C$16)+G$32)/100)))+$C$12*$C$29/100))+$C$13)-($C$6*$C$10+$C$7*$C$11+$C$12*(1-$C$28/100)+$C$25)-(((($C$6*($C$8*(1-($C$17+$C$18*MAX(0,$B$35-$C$16)+$C$15)/100)))+$C$12*(1-$C$29/100))+(($C$7*($C$9*(1-($C$19+$C$20*MAX(0,$B$35-$C$16)+G$32)/100)))+$C$12*$C$29/100))*$C$21/100)-(((($C$6*($C$8*(1-($C$17+$C$18*MAX(0,$B$35-$C$16)+$C$15)/100)))+$C$12*(1-$C$29/100))+(($C$7*($C$9*(1-($C$19+$C$20*MAX(0,$B$35-$C$16)+G$32)/100)))+$C$12*$C$29/100))*$C$22/100+$C$13*(1-$C$23/100))+$C$24)+$C$26)*(1-$C$27/100))/$C$14</f>
        <v/>
      </c>
    </row>
    <row r="36">
      <c r="B36" s="67" t="n">
        <v>6.75</v>
      </c>
      <c r="C36" s="11">
        <f>((((((($C$6*($C$8*(1-($C$17+$C$18*MAX(0,$B$36-$C$16)+$C$15)/100)))+$C$12*(1-$C$29/100))+(($C$7*($C$9*(1-($C$19+$C$20*MAX(0,$B$36-$C$16)+C$32)/100)))+$C$12*$C$29/100))+$C$13)-($C$6*$C$10+$C$7*$C$11+$C$12*(1-$C$28/100)+$C$25)-(((($C$6*($C$8*(1-($C$17+$C$18*MAX(0,$B$36-$C$16)+$C$15)/100)))+$C$12*(1-$C$29/100))+(($C$7*($C$9*(1-($C$19+$C$20*MAX(0,$B$36-$C$16)+C$32)/100)))+$C$12*$C$29/100))*$C$21/100)-(((($C$6*($C$8*(1-($C$17+$C$18*MAX(0,$B$36-$C$16)+$C$15)/100)))+$C$12*(1-$C$29/100))+(($C$7*($C$9*(1-($C$19+$C$20*MAX(0,$B$36-$C$16)+C$32)/100)))+$C$12*$C$29/100))*$C$22/100+$C$13*(1-$C$23/100))+$C$24)+$C$26)*(1-$C$27/100))/$C$14</f>
        <v/>
      </c>
      <c r="D36" s="11">
        <f>((((((($C$6*($C$8*(1-($C$17+$C$18*MAX(0,$B$36-$C$16)+$C$15)/100)))+$C$12*(1-$C$29/100))+(($C$7*($C$9*(1-($C$19+$C$20*MAX(0,$B$36-$C$16)+D$32)/100)))+$C$12*$C$29/100))+$C$13)-($C$6*$C$10+$C$7*$C$11+$C$12*(1-$C$28/100)+$C$25)-(((($C$6*($C$8*(1-($C$17+$C$18*MAX(0,$B$36-$C$16)+$C$15)/100)))+$C$12*(1-$C$29/100))+(($C$7*($C$9*(1-($C$19+$C$20*MAX(0,$B$36-$C$16)+D$32)/100)))+$C$12*$C$29/100))*$C$21/100)-(((($C$6*($C$8*(1-($C$17+$C$18*MAX(0,$B$36-$C$16)+$C$15)/100)))+$C$12*(1-$C$29/100))+(($C$7*($C$9*(1-($C$19+$C$20*MAX(0,$B$36-$C$16)+D$32)/100)))+$C$12*$C$29/100))*$C$22/100+$C$13*(1-$C$23/100))+$C$24)+$C$26)*(1-$C$27/100))/$C$14</f>
        <v/>
      </c>
      <c r="E36" s="11">
        <f>((((((($C$6*($C$8*(1-($C$17+$C$18*MAX(0,$B$36-$C$16)+$C$15)/100)))+$C$12*(1-$C$29/100))+(($C$7*($C$9*(1-($C$19+$C$20*MAX(0,$B$36-$C$16)+E$32)/100)))+$C$12*$C$29/100))+$C$13)-($C$6*$C$10+$C$7*$C$11+$C$12*(1-$C$28/100)+$C$25)-(((($C$6*($C$8*(1-($C$17+$C$18*MAX(0,$B$36-$C$16)+$C$15)/100)))+$C$12*(1-$C$29/100))+(($C$7*($C$9*(1-($C$19+$C$20*MAX(0,$B$36-$C$16)+E$32)/100)))+$C$12*$C$29/100))*$C$21/100)-(((($C$6*($C$8*(1-($C$17+$C$18*MAX(0,$B$36-$C$16)+$C$15)/100)))+$C$12*(1-$C$29/100))+(($C$7*($C$9*(1-($C$19+$C$20*MAX(0,$B$36-$C$16)+E$32)/100)))+$C$12*$C$29/100))*$C$22/100+$C$13*(1-$C$23/100))+$C$24)+$C$26)*(1-$C$27/100))/$C$14</f>
        <v/>
      </c>
      <c r="F36" s="11">
        <f>((((((($C$6*($C$8*(1-($C$17+$C$18*MAX(0,$B$36-$C$16)+$C$15)/100)))+$C$12*(1-$C$29/100))+(($C$7*($C$9*(1-($C$19+$C$20*MAX(0,$B$36-$C$16)+F$32)/100)))+$C$12*$C$29/100))+$C$13)-($C$6*$C$10+$C$7*$C$11+$C$12*(1-$C$28/100)+$C$25)-(((($C$6*($C$8*(1-($C$17+$C$18*MAX(0,$B$36-$C$16)+$C$15)/100)))+$C$12*(1-$C$29/100))+(($C$7*($C$9*(1-($C$19+$C$20*MAX(0,$B$36-$C$16)+F$32)/100)))+$C$12*$C$29/100))*$C$21/100)-(((($C$6*($C$8*(1-($C$17+$C$18*MAX(0,$B$36-$C$16)+$C$15)/100)))+$C$12*(1-$C$29/100))+(($C$7*($C$9*(1-($C$19+$C$20*MAX(0,$B$36-$C$16)+F$32)/100)))+$C$12*$C$29/100))*$C$22/100+$C$13*(1-$C$23/100))+$C$24)+$C$26)*(1-$C$27/100))/$C$14</f>
        <v/>
      </c>
      <c r="G36" s="11">
        <f>((((((($C$6*($C$8*(1-($C$17+$C$18*MAX(0,$B$36-$C$16)+$C$15)/100)))+$C$12*(1-$C$29/100))+(($C$7*($C$9*(1-($C$19+$C$20*MAX(0,$B$36-$C$16)+G$32)/100)))+$C$12*$C$29/100))+$C$13)-($C$6*$C$10+$C$7*$C$11+$C$12*(1-$C$28/100)+$C$25)-(((($C$6*($C$8*(1-($C$17+$C$18*MAX(0,$B$36-$C$16)+$C$15)/100)))+$C$12*(1-$C$29/100))+(($C$7*($C$9*(1-($C$19+$C$20*MAX(0,$B$36-$C$16)+G$32)/100)))+$C$12*$C$29/100))*$C$21/100)-(((($C$6*($C$8*(1-($C$17+$C$18*MAX(0,$B$36-$C$16)+$C$15)/100)))+$C$12*(1-$C$29/100))+(($C$7*($C$9*(1-($C$19+$C$20*MAX(0,$B$36-$C$16)+G$32)/100)))+$C$12*$C$29/100))*$C$22/100+$C$13*(1-$C$23/100))+$C$24)+$C$26)*(1-$C$27/100))/$C$14</f>
        <v/>
      </c>
    </row>
    <row r="37">
      <c r="B37" s="67" t="n">
        <v>7.25</v>
      </c>
      <c r="C37" s="11">
        <f>((((((($C$6*($C$8*(1-($C$17+$C$18*MAX(0,$B$37-$C$16)+$C$15)/100)))+$C$12*(1-$C$29/100))+(($C$7*($C$9*(1-($C$19+$C$20*MAX(0,$B$37-$C$16)+C$32)/100)))+$C$12*$C$29/100))+$C$13)-($C$6*$C$10+$C$7*$C$11+$C$12*(1-$C$28/100)+$C$25)-(((($C$6*($C$8*(1-($C$17+$C$18*MAX(0,$B$37-$C$16)+$C$15)/100)))+$C$12*(1-$C$29/100))+(($C$7*($C$9*(1-($C$19+$C$20*MAX(0,$B$37-$C$16)+C$32)/100)))+$C$12*$C$29/100))*$C$21/100)-(((($C$6*($C$8*(1-($C$17+$C$18*MAX(0,$B$37-$C$16)+$C$15)/100)))+$C$12*(1-$C$29/100))+(($C$7*($C$9*(1-($C$19+$C$20*MAX(0,$B$37-$C$16)+C$32)/100)))+$C$12*$C$29/100))*$C$22/100+$C$13*(1-$C$23/100))+$C$24)+$C$26)*(1-$C$27/100))/$C$14</f>
        <v/>
      </c>
      <c r="D37" s="11">
        <f>((((((($C$6*($C$8*(1-($C$17+$C$18*MAX(0,$B$37-$C$16)+$C$15)/100)))+$C$12*(1-$C$29/100))+(($C$7*($C$9*(1-($C$19+$C$20*MAX(0,$B$37-$C$16)+D$32)/100)))+$C$12*$C$29/100))+$C$13)-($C$6*$C$10+$C$7*$C$11+$C$12*(1-$C$28/100)+$C$25)-(((($C$6*($C$8*(1-($C$17+$C$18*MAX(0,$B$37-$C$16)+$C$15)/100)))+$C$12*(1-$C$29/100))+(($C$7*($C$9*(1-($C$19+$C$20*MAX(0,$B$37-$C$16)+D$32)/100)))+$C$12*$C$29/100))*$C$21/100)-(((($C$6*($C$8*(1-($C$17+$C$18*MAX(0,$B$37-$C$16)+$C$15)/100)))+$C$12*(1-$C$29/100))+(($C$7*($C$9*(1-($C$19+$C$20*MAX(0,$B$37-$C$16)+D$32)/100)))+$C$12*$C$29/100))*$C$22/100+$C$13*(1-$C$23/100))+$C$24)+$C$26)*(1-$C$27/100))/$C$14</f>
        <v/>
      </c>
      <c r="E37" s="11">
        <f>((((((($C$6*($C$8*(1-($C$17+$C$18*MAX(0,$B$37-$C$16)+$C$15)/100)))+$C$12*(1-$C$29/100))+(($C$7*($C$9*(1-($C$19+$C$20*MAX(0,$B$37-$C$16)+E$32)/100)))+$C$12*$C$29/100))+$C$13)-($C$6*$C$10+$C$7*$C$11+$C$12*(1-$C$28/100)+$C$25)-(((($C$6*($C$8*(1-($C$17+$C$18*MAX(0,$B$37-$C$16)+$C$15)/100)))+$C$12*(1-$C$29/100))+(($C$7*($C$9*(1-($C$19+$C$20*MAX(0,$B$37-$C$16)+E$32)/100)))+$C$12*$C$29/100))*$C$21/100)-(((($C$6*($C$8*(1-($C$17+$C$18*MAX(0,$B$37-$C$16)+$C$15)/100)))+$C$12*(1-$C$29/100))+(($C$7*($C$9*(1-($C$19+$C$20*MAX(0,$B$37-$C$16)+E$32)/100)))+$C$12*$C$29/100))*$C$22/100+$C$13*(1-$C$23/100))+$C$24)+$C$26)*(1-$C$27/100))/$C$14</f>
        <v/>
      </c>
      <c r="F37" s="11">
        <f>((((((($C$6*($C$8*(1-($C$17+$C$18*MAX(0,$B$37-$C$16)+$C$15)/100)))+$C$12*(1-$C$29/100))+(($C$7*($C$9*(1-($C$19+$C$20*MAX(0,$B$37-$C$16)+F$32)/100)))+$C$12*$C$29/100))+$C$13)-($C$6*$C$10+$C$7*$C$11+$C$12*(1-$C$28/100)+$C$25)-(((($C$6*($C$8*(1-($C$17+$C$18*MAX(0,$B$37-$C$16)+$C$15)/100)))+$C$12*(1-$C$29/100))+(($C$7*($C$9*(1-($C$19+$C$20*MAX(0,$B$37-$C$16)+F$32)/100)))+$C$12*$C$29/100))*$C$21/100)-(((($C$6*($C$8*(1-($C$17+$C$18*MAX(0,$B$37-$C$16)+$C$15)/100)))+$C$12*(1-$C$29/100))+(($C$7*($C$9*(1-($C$19+$C$20*MAX(0,$B$37-$C$16)+F$32)/100)))+$C$12*$C$29/100))*$C$22/100+$C$13*(1-$C$23/100))+$C$24)+$C$26)*(1-$C$27/100))/$C$14</f>
        <v/>
      </c>
      <c r="G37" s="11">
        <f>((((((($C$6*($C$8*(1-($C$17+$C$18*MAX(0,$B$37-$C$16)+$C$15)/100)))+$C$12*(1-$C$29/100))+(($C$7*($C$9*(1-($C$19+$C$20*MAX(0,$B$37-$C$16)+G$32)/100)))+$C$12*$C$29/100))+$C$13)-($C$6*$C$10+$C$7*$C$11+$C$12*(1-$C$28/100)+$C$25)-(((($C$6*($C$8*(1-($C$17+$C$18*MAX(0,$B$37-$C$16)+$C$15)/100)))+$C$12*(1-$C$29/100))+(($C$7*($C$9*(1-($C$19+$C$20*MAX(0,$B$37-$C$16)+G$32)/100)))+$C$12*$C$29/100))*$C$21/100)-(((($C$6*($C$8*(1-($C$17+$C$18*MAX(0,$B$37-$C$16)+$C$15)/100)))+$C$12*(1-$C$29/100))+(($C$7*($C$9*(1-($C$19+$C$20*MAX(0,$B$37-$C$16)+G$32)/100)))+$C$12*$C$29/100))*$C$22/100+$C$13*(1-$C$23/100))+$C$24)+$C$26)*(1-$C$27/100))/$C$14</f>
        <v/>
      </c>
    </row>
    <row r="38" ht="14" customHeight="1"/>
    <row r="39" ht="15.5" customHeight="1">
      <c r="B39" s="3" t="inlineStr">
        <is>
          <t>2027E HOMEBUILDING GROSS MARGIN (%)   —   mortgage rate (down) x Southern competition premium (across)</t>
        </is>
      </c>
      <c r="C39" s="3" t="n"/>
      <c r="D39" s="3" t="n"/>
      <c r="E39" s="3" t="n"/>
      <c r="F39" s="3" t="n"/>
      <c r="G39" s="3" t="n"/>
      <c r="H39" s="3" t="n"/>
      <c r="I39" s="3" t="n"/>
      <c r="J39" s="3" t="n"/>
    </row>
    <row r="40">
      <c r="B40" s="32" t="inlineStr">
        <is>
          <t>30-yr mortgage rate  \  competition premium (pp of gross ASP)</t>
        </is>
      </c>
      <c r="C40" s="67" t="n">
        <v>0.5</v>
      </c>
      <c r="D40" s="67" t="n">
        <v>1.7</v>
      </c>
      <c r="E40" s="67" t="n">
        <v>2.97</v>
      </c>
      <c r="F40" s="67" t="n">
        <v>4.2</v>
      </c>
      <c r="G40" s="67" t="n">
        <v>5.5</v>
      </c>
    </row>
    <row r="41">
      <c r="B41" s="67" t="n">
        <v>5.5</v>
      </c>
      <c r="C41" s="16">
        <f>1-($C$6*$C$10+$C$7*$C$11+$C$12*(1-$C$28/100)+$C$25)/((($C$6*($C$8*(1-($C$17+$C$18*MAX(0,$B$41-$C$16)+$C$15)/100)))+$C$12*(1-$C$29/100))+(($C$7*($C$9*(1-($C$19+$C$20*MAX(0,$B$41-$C$16)+C$40)/100)))+$C$12*$C$29/100))</f>
        <v/>
      </c>
      <c r="D41" s="16">
        <f>1-($C$6*$C$10+$C$7*$C$11+$C$12*(1-$C$28/100)+$C$25)/((($C$6*($C$8*(1-($C$17+$C$18*MAX(0,$B$41-$C$16)+$C$15)/100)))+$C$12*(1-$C$29/100))+(($C$7*($C$9*(1-($C$19+$C$20*MAX(0,$B$41-$C$16)+D$40)/100)))+$C$12*$C$29/100))</f>
        <v/>
      </c>
      <c r="E41" s="16">
        <f>1-($C$6*$C$10+$C$7*$C$11+$C$12*(1-$C$28/100)+$C$25)/((($C$6*($C$8*(1-($C$17+$C$18*MAX(0,$B$41-$C$16)+$C$15)/100)))+$C$12*(1-$C$29/100))+(($C$7*($C$9*(1-($C$19+$C$20*MAX(0,$B$41-$C$16)+E$40)/100)))+$C$12*$C$29/100))</f>
        <v/>
      </c>
      <c r="F41" s="16">
        <f>1-($C$6*$C$10+$C$7*$C$11+$C$12*(1-$C$28/100)+$C$25)/((($C$6*($C$8*(1-($C$17+$C$18*MAX(0,$B$41-$C$16)+$C$15)/100)))+$C$12*(1-$C$29/100))+(($C$7*($C$9*(1-($C$19+$C$20*MAX(0,$B$41-$C$16)+F$40)/100)))+$C$12*$C$29/100))</f>
        <v/>
      </c>
      <c r="G41" s="16">
        <f>1-($C$6*$C$10+$C$7*$C$11+$C$12*(1-$C$28/100)+$C$25)/((($C$6*($C$8*(1-($C$17+$C$18*MAX(0,$B$41-$C$16)+$C$15)/100)))+$C$12*(1-$C$29/100))+(($C$7*($C$9*(1-($C$19+$C$20*MAX(0,$B$41-$C$16)+G$40)/100)))+$C$12*$C$29/100))</f>
        <v/>
      </c>
      <c r="L41" s="9" t="inlineStr">
        <is>
          <t>For reference, MHO ran a 24.7% homebuilding gross margin in 2024 and 19.5% in the first half of 2026.</t>
        </is>
      </c>
    </row>
    <row r="42">
      <c r="B42" s="67" t="n">
        <v>6</v>
      </c>
      <c r="C42" s="16">
        <f>1-($C$6*$C$10+$C$7*$C$11+$C$12*(1-$C$28/100)+$C$25)/((($C$6*($C$8*(1-($C$17+$C$18*MAX(0,$B$42-$C$16)+$C$15)/100)))+$C$12*(1-$C$29/100))+(($C$7*($C$9*(1-($C$19+$C$20*MAX(0,$B$42-$C$16)+C$40)/100)))+$C$12*$C$29/100))</f>
        <v/>
      </c>
      <c r="D42" s="16">
        <f>1-($C$6*$C$10+$C$7*$C$11+$C$12*(1-$C$28/100)+$C$25)/((($C$6*($C$8*(1-($C$17+$C$18*MAX(0,$B$42-$C$16)+$C$15)/100)))+$C$12*(1-$C$29/100))+(($C$7*($C$9*(1-($C$19+$C$20*MAX(0,$B$42-$C$16)+D$40)/100)))+$C$12*$C$29/100))</f>
        <v/>
      </c>
      <c r="E42" s="16">
        <f>1-($C$6*$C$10+$C$7*$C$11+$C$12*(1-$C$28/100)+$C$25)/((($C$6*($C$8*(1-($C$17+$C$18*MAX(0,$B$42-$C$16)+$C$15)/100)))+$C$12*(1-$C$29/100))+(($C$7*($C$9*(1-($C$19+$C$20*MAX(0,$B$42-$C$16)+E$40)/100)))+$C$12*$C$29/100))</f>
        <v/>
      </c>
      <c r="F42" s="16">
        <f>1-($C$6*$C$10+$C$7*$C$11+$C$12*(1-$C$28/100)+$C$25)/((($C$6*($C$8*(1-($C$17+$C$18*MAX(0,$B$42-$C$16)+$C$15)/100)))+$C$12*(1-$C$29/100))+(($C$7*($C$9*(1-($C$19+$C$20*MAX(0,$B$42-$C$16)+F$40)/100)))+$C$12*$C$29/100))</f>
        <v/>
      </c>
      <c r="G42" s="16">
        <f>1-($C$6*$C$10+$C$7*$C$11+$C$12*(1-$C$28/100)+$C$25)/((($C$6*($C$8*(1-($C$17+$C$18*MAX(0,$B$42-$C$16)+$C$15)/100)))+$C$12*(1-$C$29/100))+(($C$7*($C$9*(1-($C$19+$C$20*MAX(0,$B$42-$C$16)+G$40)/100)))+$C$12*$C$29/100))</f>
        <v/>
      </c>
    </row>
    <row r="43">
      <c r="B43" s="67" t="n">
        <v>6.35</v>
      </c>
      <c r="C43" s="16">
        <f>1-($C$6*$C$10+$C$7*$C$11+$C$12*(1-$C$28/100)+$C$25)/((($C$6*($C$8*(1-($C$17+$C$18*MAX(0,$B$43-$C$16)+$C$15)/100)))+$C$12*(1-$C$29/100))+(($C$7*($C$9*(1-($C$19+$C$20*MAX(0,$B$43-$C$16)+C$40)/100)))+$C$12*$C$29/100))</f>
        <v/>
      </c>
      <c r="D43" s="16">
        <f>1-($C$6*$C$10+$C$7*$C$11+$C$12*(1-$C$28/100)+$C$25)/((($C$6*($C$8*(1-($C$17+$C$18*MAX(0,$B$43-$C$16)+$C$15)/100)))+$C$12*(1-$C$29/100))+(($C$7*($C$9*(1-($C$19+$C$20*MAX(0,$B$43-$C$16)+D$40)/100)))+$C$12*$C$29/100))</f>
        <v/>
      </c>
      <c r="E43" s="65">
        <f>1-($C$6*$C$10+$C$7*$C$11+$C$12*(1-$C$28/100)+$C$25)/((($C$6*($C$8*(1-($C$17+$C$18*MAX(0,$B$43-$C$16)+$C$15)/100)))+$C$12*(1-$C$29/100))+(($C$7*($C$9*(1-($C$19+$C$20*MAX(0,$B$43-$C$16)+E$40)/100)))+$C$12*$C$29/100))</f>
        <v/>
      </c>
      <c r="F43" s="16">
        <f>1-($C$6*$C$10+$C$7*$C$11+$C$12*(1-$C$28/100)+$C$25)/((($C$6*($C$8*(1-($C$17+$C$18*MAX(0,$B$43-$C$16)+$C$15)/100)))+$C$12*(1-$C$29/100))+(($C$7*($C$9*(1-($C$19+$C$20*MAX(0,$B$43-$C$16)+F$40)/100)))+$C$12*$C$29/100))</f>
        <v/>
      </c>
      <c r="G43" s="16">
        <f>1-($C$6*$C$10+$C$7*$C$11+$C$12*(1-$C$28/100)+$C$25)/((($C$6*($C$8*(1-($C$17+$C$18*MAX(0,$B$43-$C$16)+$C$15)/100)))+$C$12*(1-$C$29/100))+(($C$7*($C$9*(1-($C$19+$C$20*MAX(0,$B$43-$C$16)+G$40)/100)))+$C$12*$C$29/100))</f>
        <v/>
      </c>
    </row>
    <row r="44">
      <c r="B44" s="67" t="n">
        <v>6.75</v>
      </c>
      <c r="C44" s="16">
        <f>1-($C$6*$C$10+$C$7*$C$11+$C$12*(1-$C$28/100)+$C$25)/((($C$6*($C$8*(1-($C$17+$C$18*MAX(0,$B$44-$C$16)+$C$15)/100)))+$C$12*(1-$C$29/100))+(($C$7*($C$9*(1-($C$19+$C$20*MAX(0,$B$44-$C$16)+C$40)/100)))+$C$12*$C$29/100))</f>
        <v/>
      </c>
      <c r="D44" s="16">
        <f>1-($C$6*$C$10+$C$7*$C$11+$C$12*(1-$C$28/100)+$C$25)/((($C$6*($C$8*(1-($C$17+$C$18*MAX(0,$B$44-$C$16)+$C$15)/100)))+$C$12*(1-$C$29/100))+(($C$7*($C$9*(1-($C$19+$C$20*MAX(0,$B$44-$C$16)+D$40)/100)))+$C$12*$C$29/100))</f>
        <v/>
      </c>
      <c r="E44" s="16">
        <f>1-($C$6*$C$10+$C$7*$C$11+$C$12*(1-$C$28/100)+$C$25)/((($C$6*($C$8*(1-($C$17+$C$18*MAX(0,$B$44-$C$16)+$C$15)/100)))+$C$12*(1-$C$29/100))+(($C$7*($C$9*(1-($C$19+$C$20*MAX(0,$B$44-$C$16)+E$40)/100)))+$C$12*$C$29/100))</f>
        <v/>
      </c>
      <c r="F44" s="16">
        <f>1-($C$6*$C$10+$C$7*$C$11+$C$12*(1-$C$28/100)+$C$25)/((($C$6*($C$8*(1-($C$17+$C$18*MAX(0,$B$44-$C$16)+$C$15)/100)))+$C$12*(1-$C$29/100))+(($C$7*($C$9*(1-($C$19+$C$20*MAX(0,$B$44-$C$16)+F$40)/100)))+$C$12*$C$29/100))</f>
        <v/>
      </c>
      <c r="G44" s="16">
        <f>1-($C$6*$C$10+$C$7*$C$11+$C$12*(1-$C$28/100)+$C$25)/((($C$6*($C$8*(1-($C$17+$C$18*MAX(0,$B$44-$C$16)+$C$15)/100)))+$C$12*(1-$C$29/100))+(($C$7*($C$9*(1-($C$19+$C$20*MAX(0,$B$44-$C$16)+G$40)/100)))+$C$12*$C$29/100))</f>
        <v/>
      </c>
    </row>
    <row r="45">
      <c r="B45" s="67" t="n">
        <v>7.25</v>
      </c>
      <c r="C45" s="16">
        <f>1-($C$6*$C$10+$C$7*$C$11+$C$12*(1-$C$28/100)+$C$25)/((($C$6*($C$8*(1-($C$17+$C$18*MAX(0,$B$45-$C$16)+$C$15)/100)))+$C$12*(1-$C$29/100))+(($C$7*($C$9*(1-($C$19+$C$20*MAX(0,$B$45-$C$16)+C$40)/100)))+$C$12*$C$29/100))</f>
        <v/>
      </c>
      <c r="D45" s="16">
        <f>1-($C$6*$C$10+$C$7*$C$11+$C$12*(1-$C$28/100)+$C$25)/((($C$6*($C$8*(1-($C$17+$C$18*MAX(0,$B$45-$C$16)+$C$15)/100)))+$C$12*(1-$C$29/100))+(($C$7*($C$9*(1-($C$19+$C$20*MAX(0,$B$45-$C$16)+D$40)/100)))+$C$12*$C$29/100))</f>
        <v/>
      </c>
      <c r="E45" s="16">
        <f>1-($C$6*$C$10+$C$7*$C$11+$C$12*(1-$C$28/100)+$C$25)/((($C$6*($C$8*(1-($C$17+$C$18*MAX(0,$B$45-$C$16)+$C$15)/100)))+$C$12*(1-$C$29/100))+(($C$7*($C$9*(1-($C$19+$C$20*MAX(0,$B$45-$C$16)+E$40)/100)))+$C$12*$C$29/100))</f>
        <v/>
      </c>
      <c r="F45" s="16">
        <f>1-($C$6*$C$10+$C$7*$C$11+$C$12*(1-$C$28/100)+$C$25)/((($C$6*($C$8*(1-($C$17+$C$18*MAX(0,$B$45-$C$16)+$C$15)/100)))+$C$12*(1-$C$29/100))+(($C$7*($C$9*(1-($C$19+$C$20*MAX(0,$B$45-$C$16)+F$40)/100)))+$C$12*$C$29/100))</f>
        <v/>
      </c>
      <c r="G45" s="16">
        <f>1-($C$6*$C$10+$C$7*$C$11+$C$12*(1-$C$28/100)+$C$25)/((($C$6*($C$8*(1-($C$17+$C$18*MAX(0,$B$45-$C$16)+$C$15)/100)))+$C$12*(1-$C$29/100))+(($C$7*($C$9*(1-($C$19+$C$20*MAX(0,$B$45-$C$16)+G$40)/100)))+$C$12*$C$29/100))</f>
        <v/>
      </c>
    </row>
    <row r="46" ht="14" customHeight="1"/>
    <row r="47" ht="15.5" customHeight="1">
      <c r="B47" s="3" t="inlineStr">
        <is>
          <t>BASE CASE IS THE SHADED CELL:  6.35% mortgage rate, 4.6pp Southern competition premium</t>
        </is>
      </c>
      <c r="C47" s="3" t="n"/>
      <c r="D47" s="3" t="n"/>
      <c r="E47" s="3" t="n"/>
      <c r="F47" s="3" t="n"/>
      <c r="G47" s="3" t="n"/>
      <c r="H47" s="3" t="n"/>
      <c r="I47" s="3" t="n"/>
      <c r="J4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2026-09-12T04:02:34Z</dcterms:created>
  <dcterms:modified xsi:type="dcterms:W3CDTF">2026-09-12T04:02:34Z</dcterms:modified>
</cp:coreProperties>
</file>