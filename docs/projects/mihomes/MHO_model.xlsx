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decker/Desktop/wstone0.github.io/docs/projects/mihomes/"/>
    </mc:Choice>
  </mc:AlternateContent>
  <xr:revisionPtr revIDLastSave="0" documentId="13_ncr:1_{72DFED14-271A-F74C-B56D-06D7F217A816}" xr6:coauthVersionLast="47" xr6:coauthVersionMax="47" xr10:uidLastSave="{00000000-0000-0000-0000-000000000000}"/>
  <bookViews>
    <workbookView xWindow="0" yWindow="660" windowWidth="30240" windowHeight="17580" activeTab="10" xr2:uid="{00000000-000D-0000-FFFF-FFFF00000000}"/>
  </bookViews>
  <sheets>
    <sheet name="README" sheetId="1" r:id="rId1"/>
    <sheet name="Summary" sheetId="2" r:id="rId2"/>
    <sheet name="Assumptions" sheetId="3" r:id="rId3"/>
    <sheet name="Historicals" sheetId="4" r:id="rId4"/>
    <sheet name="Segment Build" sheetId="5" r:id="rId5"/>
    <sheet name="IS" sheetId="6" r:id="rId6"/>
    <sheet name="BS" sheetId="7" r:id="rId7"/>
    <sheet name="CF" sheetId="8" r:id="rId8"/>
    <sheet name="DCF" sheetId="9" r:id="rId9"/>
    <sheet name="Comps" sheetId="10" r:id="rId10"/>
    <sheet name="Sensitivity"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9" i="11" l="1"/>
  <c r="C28" i="11"/>
  <c r="C27" i="11"/>
  <c r="C26" i="11"/>
  <c r="C25" i="11"/>
  <c r="C24" i="11"/>
  <c r="C23" i="11"/>
  <c r="C22" i="11"/>
  <c r="C21" i="11"/>
  <c r="C20" i="11"/>
  <c r="C19" i="11"/>
  <c r="C18" i="11"/>
  <c r="C17" i="11"/>
  <c r="C16" i="11"/>
  <c r="C15" i="11"/>
  <c r="C12" i="11"/>
  <c r="C30" i="10"/>
  <c r="E19" i="10"/>
  <c r="E18" i="10"/>
  <c r="E17" i="10"/>
  <c r="J14" i="10"/>
  <c r="L14" i="10" s="1"/>
  <c r="N14" i="10" s="1"/>
  <c r="I14" i="10"/>
  <c r="O14" i="10" s="1"/>
  <c r="P14" i="10" s="1"/>
  <c r="G13" i="10"/>
  <c r="G12" i="10"/>
  <c r="C29" i="10" s="1"/>
  <c r="L11" i="10"/>
  <c r="N11" i="10" s="1"/>
  <c r="J11" i="10"/>
  <c r="K11" i="10" s="1"/>
  <c r="M11" i="10" s="1"/>
  <c r="I11" i="10"/>
  <c r="O11" i="10" s="1"/>
  <c r="P11" i="10" s="1"/>
  <c r="J10" i="10"/>
  <c r="L10" i="10" s="1"/>
  <c r="N10" i="10" s="1"/>
  <c r="I10" i="10"/>
  <c r="O10" i="10" s="1"/>
  <c r="P10" i="10" s="1"/>
  <c r="J9" i="10"/>
  <c r="L9" i="10" s="1"/>
  <c r="N9" i="10" s="1"/>
  <c r="I9" i="10"/>
  <c r="O9" i="10" s="1"/>
  <c r="P9" i="10" s="1"/>
  <c r="J8" i="10"/>
  <c r="L8" i="10" s="1"/>
  <c r="N8" i="10" s="1"/>
  <c r="I8" i="10"/>
  <c r="O8" i="10" s="1"/>
  <c r="P8" i="10" s="1"/>
  <c r="L7" i="10"/>
  <c r="N7" i="10" s="1"/>
  <c r="J7" i="10"/>
  <c r="K7" i="10" s="1"/>
  <c r="M7" i="10" s="1"/>
  <c r="I7" i="10"/>
  <c r="O7" i="10" s="1"/>
  <c r="P7" i="10" s="1"/>
  <c r="J6" i="10"/>
  <c r="L6" i="10" s="1"/>
  <c r="N6" i="10" s="1"/>
  <c r="I6" i="10"/>
  <c r="O6" i="10" s="1"/>
  <c r="C43" i="9"/>
  <c r="C41" i="9"/>
  <c r="J26" i="9"/>
  <c r="I26" i="9"/>
  <c r="H26" i="9"/>
  <c r="G26" i="9"/>
  <c r="F26" i="9"/>
  <c r="J25" i="9"/>
  <c r="I25" i="9"/>
  <c r="H25" i="9"/>
  <c r="G25" i="9"/>
  <c r="F25" i="9"/>
  <c r="J24" i="9"/>
  <c r="I24" i="9"/>
  <c r="H24" i="9"/>
  <c r="G24" i="9"/>
  <c r="F24" i="9"/>
  <c r="C17" i="9"/>
  <c r="C15" i="9"/>
  <c r="C14" i="9"/>
  <c r="C16" i="9" s="1"/>
  <c r="C13" i="9"/>
  <c r="C12" i="9"/>
  <c r="C11" i="9"/>
  <c r="C10" i="9"/>
  <c r="C8" i="9"/>
  <c r="C7" i="9"/>
  <c r="C6" i="9"/>
  <c r="C9" i="9" s="1"/>
  <c r="E27" i="8"/>
  <c r="D27" i="8"/>
  <c r="C27" i="8"/>
  <c r="F26" i="8"/>
  <c r="J22" i="8"/>
  <c r="I22" i="8"/>
  <c r="H22" i="8"/>
  <c r="G22" i="8"/>
  <c r="F22" i="8"/>
  <c r="E22" i="8"/>
  <c r="D22" i="8"/>
  <c r="C22" i="8"/>
  <c r="J18" i="8"/>
  <c r="I18" i="8"/>
  <c r="H18" i="8"/>
  <c r="G18" i="8"/>
  <c r="F18" i="8"/>
  <c r="E18" i="8"/>
  <c r="E30" i="8" s="1"/>
  <c r="J17" i="8"/>
  <c r="I17" i="8"/>
  <c r="H17" i="8"/>
  <c r="G17" i="8"/>
  <c r="F17" i="8"/>
  <c r="E17" i="8"/>
  <c r="D17" i="8"/>
  <c r="D18" i="8" s="1"/>
  <c r="D30" i="8" s="1"/>
  <c r="C17" i="8"/>
  <c r="C18" i="8" s="1"/>
  <c r="E14" i="8"/>
  <c r="D14" i="8"/>
  <c r="C14" i="8"/>
  <c r="C30" i="8" s="1"/>
  <c r="J10" i="8"/>
  <c r="I10" i="8"/>
  <c r="H10" i="8"/>
  <c r="G10" i="8"/>
  <c r="F10" i="8"/>
  <c r="E10" i="8"/>
  <c r="D10" i="8"/>
  <c r="C10" i="8"/>
  <c r="J9" i="8"/>
  <c r="I9" i="8"/>
  <c r="H9" i="8"/>
  <c r="G9" i="8"/>
  <c r="F9" i="8"/>
  <c r="E9" i="8"/>
  <c r="D9" i="8"/>
  <c r="C9" i="8"/>
  <c r="C30" i="7"/>
  <c r="E27" i="7"/>
  <c r="D27" i="7"/>
  <c r="C36" i="2" s="1"/>
  <c r="C27" i="7"/>
  <c r="D26" i="7"/>
  <c r="C26" i="7"/>
  <c r="E24" i="7"/>
  <c r="D24" i="7"/>
  <c r="C24" i="7"/>
  <c r="C25" i="7" s="1"/>
  <c r="E19" i="7"/>
  <c r="D19" i="7"/>
  <c r="D25" i="7" s="1"/>
  <c r="C34" i="2" s="1"/>
  <c r="C19" i="7"/>
  <c r="E17" i="7"/>
  <c r="E18" i="7" s="1"/>
  <c r="E20" i="7" s="1"/>
  <c r="D17" i="7"/>
  <c r="D18" i="7" s="1"/>
  <c r="D20" i="7" s="1"/>
  <c r="C17" i="7"/>
  <c r="J16" i="7"/>
  <c r="I16" i="7"/>
  <c r="H16" i="7"/>
  <c r="G16" i="7"/>
  <c r="F16" i="7"/>
  <c r="E16" i="7"/>
  <c r="D16" i="7"/>
  <c r="C16" i="7"/>
  <c r="J15" i="7"/>
  <c r="I15" i="7"/>
  <c r="H15" i="7"/>
  <c r="G15" i="7"/>
  <c r="G21" i="8" s="1"/>
  <c r="G23" i="8" s="1"/>
  <c r="F15" i="7"/>
  <c r="E15" i="7"/>
  <c r="E28" i="7" s="1"/>
  <c r="D15" i="7"/>
  <c r="D28" i="7" s="1"/>
  <c r="C15" i="7"/>
  <c r="C28" i="7" s="1"/>
  <c r="D11" i="7"/>
  <c r="D12" i="7" s="1"/>
  <c r="D21" i="7" s="1"/>
  <c r="C11" i="7"/>
  <c r="C12" i="7" s="1"/>
  <c r="H10" i="7"/>
  <c r="I10" i="7" s="1"/>
  <c r="J10" i="7" s="1"/>
  <c r="E10" i="7"/>
  <c r="F10" i="7" s="1"/>
  <c r="G10" i="7" s="1"/>
  <c r="D10" i="7"/>
  <c r="C10" i="7"/>
  <c r="E9" i="7"/>
  <c r="D9" i="7"/>
  <c r="C9" i="7"/>
  <c r="E8" i="7"/>
  <c r="D8" i="7"/>
  <c r="C8" i="7"/>
  <c r="C44" i="6"/>
  <c r="E43" i="6"/>
  <c r="D43" i="6"/>
  <c r="C43" i="6"/>
  <c r="E42" i="6"/>
  <c r="E45" i="6" s="1"/>
  <c r="D42" i="6"/>
  <c r="D45" i="6" s="1"/>
  <c r="C42" i="6"/>
  <c r="E41" i="6"/>
  <c r="D41" i="6"/>
  <c r="C41" i="6"/>
  <c r="G36" i="6"/>
  <c r="E36" i="6"/>
  <c r="F36" i="6" s="1"/>
  <c r="F24" i="7" s="1"/>
  <c r="D36" i="6"/>
  <c r="C36" i="6"/>
  <c r="E30" i="6"/>
  <c r="D30" i="6"/>
  <c r="C30" i="6"/>
  <c r="J28" i="6"/>
  <c r="I28" i="6"/>
  <c r="H28" i="6"/>
  <c r="G28" i="6"/>
  <c r="F28" i="6"/>
  <c r="E28" i="6"/>
  <c r="D28" i="6"/>
  <c r="C28" i="6"/>
  <c r="E23" i="6"/>
  <c r="J22" i="6"/>
  <c r="I22" i="6"/>
  <c r="H22" i="6"/>
  <c r="G22" i="6"/>
  <c r="F22" i="6"/>
  <c r="E22" i="6"/>
  <c r="E21" i="6"/>
  <c r="D21" i="6"/>
  <c r="D23" i="6" s="1"/>
  <c r="C21" i="6"/>
  <c r="E20" i="6"/>
  <c r="D20" i="6"/>
  <c r="C20" i="6"/>
  <c r="E14" i="6"/>
  <c r="D14" i="6"/>
  <c r="C14" i="6"/>
  <c r="C17" i="6" s="1"/>
  <c r="E9" i="6"/>
  <c r="D9" i="6"/>
  <c r="C9" i="6"/>
  <c r="C45" i="6" s="1"/>
  <c r="C8" i="6"/>
  <c r="E37" i="5"/>
  <c r="D37" i="5"/>
  <c r="C37" i="5"/>
  <c r="C34" i="5"/>
  <c r="C35" i="5" s="1"/>
  <c r="C42" i="5" s="1"/>
  <c r="E33" i="5"/>
  <c r="D33" i="5"/>
  <c r="C33" i="5"/>
  <c r="E32" i="5"/>
  <c r="E34" i="5" s="1"/>
  <c r="E30" i="7" s="1"/>
  <c r="D32" i="5"/>
  <c r="D8" i="6" s="1"/>
  <c r="C32" i="5"/>
  <c r="E29" i="5"/>
  <c r="E10" i="6" s="1"/>
  <c r="D29" i="5"/>
  <c r="D10" i="6" s="1"/>
  <c r="C29" i="5"/>
  <c r="C10" i="6" s="1"/>
  <c r="C11" i="6" s="1"/>
  <c r="C15" i="6" s="1"/>
  <c r="J28" i="5"/>
  <c r="I28" i="5"/>
  <c r="H28" i="5"/>
  <c r="G28" i="5"/>
  <c r="F28" i="5"/>
  <c r="D25" i="5"/>
  <c r="C25" i="5"/>
  <c r="C24" i="5"/>
  <c r="E22" i="5"/>
  <c r="F22" i="5" s="1"/>
  <c r="D22" i="5"/>
  <c r="D24" i="5" s="1"/>
  <c r="C21" i="5"/>
  <c r="C23" i="5" s="1"/>
  <c r="J20" i="5"/>
  <c r="I20" i="5"/>
  <c r="H20" i="5"/>
  <c r="G20" i="5"/>
  <c r="F20" i="5"/>
  <c r="E20" i="5"/>
  <c r="D20" i="5"/>
  <c r="D19" i="5" s="1"/>
  <c r="C20" i="5"/>
  <c r="C19" i="5"/>
  <c r="E18" i="5"/>
  <c r="D18" i="5"/>
  <c r="D21" i="5" s="1"/>
  <c r="C18" i="5"/>
  <c r="C22" i="5" s="1"/>
  <c r="D15" i="5"/>
  <c r="F12" i="5"/>
  <c r="D12" i="5"/>
  <c r="D14" i="5" s="1"/>
  <c r="C12" i="5"/>
  <c r="D11" i="5"/>
  <c r="J10" i="5"/>
  <c r="I10" i="5"/>
  <c r="H10" i="5"/>
  <c r="G10" i="5"/>
  <c r="F10" i="5"/>
  <c r="E10" i="5"/>
  <c r="D10" i="5"/>
  <c r="C10" i="5"/>
  <c r="D9" i="5"/>
  <c r="E8" i="5"/>
  <c r="E12" i="5" s="1"/>
  <c r="D8" i="5"/>
  <c r="C8" i="5"/>
  <c r="E78" i="4"/>
  <c r="D78" i="4"/>
  <c r="C78" i="4"/>
  <c r="E77" i="4"/>
  <c r="D77" i="4"/>
  <c r="C77" i="4"/>
  <c r="E76" i="4"/>
  <c r="D76" i="4"/>
  <c r="C76" i="4"/>
  <c r="C75" i="4"/>
  <c r="E74" i="4"/>
  <c r="D74" i="4"/>
  <c r="C74" i="4"/>
  <c r="E73" i="4"/>
  <c r="D73" i="4"/>
  <c r="C73" i="4"/>
  <c r="E71" i="4"/>
  <c r="D71" i="4"/>
  <c r="C71" i="4"/>
  <c r="E70" i="4"/>
  <c r="D70" i="4"/>
  <c r="C70" i="4"/>
  <c r="E69" i="4"/>
  <c r="D69" i="4"/>
  <c r="C69" i="4"/>
  <c r="E68" i="4"/>
  <c r="D68" i="4"/>
  <c r="C68" i="4"/>
  <c r="E67" i="4"/>
  <c r="D67" i="4"/>
  <c r="C67" i="4"/>
  <c r="E66" i="4"/>
  <c r="D66" i="4"/>
  <c r="C66" i="4"/>
  <c r="E65" i="4"/>
  <c r="D65" i="4"/>
  <c r="C65" i="4"/>
  <c r="E32" i="4"/>
  <c r="D32" i="4"/>
  <c r="D22" i="6" s="1"/>
  <c r="C32" i="4"/>
  <c r="C22" i="6" s="1"/>
  <c r="E20" i="4"/>
  <c r="E72" i="4" s="1"/>
  <c r="D20" i="4"/>
  <c r="D72" i="4" s="1"/>
  <c r="C20" i="4"/>
  <c r="C72" i="4" s="1"/>
  <c r="E10" i="4"/>
  <c r="E75" i="4" s="1"/>
  <c r="D10" i="4"/>
  <c r="D43" i="5" s="1"/>
  <c r="C10" i="4"/>
  <c r="D36" i="2"/>
  <c r="D28" i="2"/>
  <c r="C28" i="2"/>
  <c r="H17" i="2"/>
  <c r="G16" i="2"/>
  <c r="C10" i="2"/>
  <c r="C8" i="2"/>
  <c r="C9" i="2" s="1"/>
  <c r="K10" i="10" l="1"/>
  <c r="M10" i="10" s="1"/>
  <c r="K8" i="10"/>
  <c r="M8" i="10" s="1"/>
  <c r="G22" i="5"/>
  <c r="D11" i="6"/>
  <c r="D44" i="6"/>
  <c r="C14" i="5"/>
  <c r="C29" i="2"/>
  <c r="H32" i="9"/>
  <c r="G32" i="9"/>
  <c r="B53" i="9"/>
  <c r="F32" i="9"/>
  <c r="B51" i="9"/>
  <c r="B49" i="9"/>
  <c r="B50" i="9"/>
  <c r="J32" i="9"/>
  <c r="I32" i="9"/>
  <c r="B52" i="9"/>
  <c r="C16" i="6"/>
  <c r="C23" i="6"/>
  <c r="C24" i="6" s="1"/>
  <c r="O12" i="10"/>
  <c r="P6" i="10"/>
  <c r="E22" i="10"/>
  <c r="E21" i="10"/>
  <c r="E20" i="10"/>
  <c r="O13" i="10"/>
  <c r="D13" i="5"/>
  <c r="F18" i="5"/>
  <c r="D23" i="5"/>
  <c r="E35" i="5"/>
  <c r="E42" i="5" s="1"/>
  <c r="D17" i="6"/>
  <c r="D28" i="5"/>
  <c r="E38" i="5"/>
  <c r="F21" i="8"/>
  <c r="F23" i="8" s="1"/>
  <c r="H21" i="8"/>
  <c r="H23" i="8" s="1"/>
  <c r="H36" i="6"/>
  <c r="C14" i="11"/>
  <c r="E27" i="9"/>
  <c r="C38" i="5"/>
  <c r="C31" i="2"/>
  <c r="D75" i="4"/>
  <c r="G12" i="5"/>
  <c r="E25" i="7"/>
  <c r="D34" i="2" s="1"/>
  <c r="E26" i="7"/>
  <c r="F29" i="5"/>
  <c r="E43" i="5"/>
  <c r="J21" i="8"/>
  <c r="J23" i="8" s="1"/>
  <c r="N12" i="10"/>
  <c r="N13" i="10"/>
  <c r="I21" i="8"/>
  <c r="I23" i="8" s="1"/>
  <c r="G21" i="2"/>
  <c r="D31" i="2"/>
  <c r="G22" i="2"/>
  <c r="F8" i="5"/>
  <c r="E11" i="5"/>
  <c r="E14" i="5" s="1"/>
  <c r="C39" i="5"/>
  <c r="E12" i="7"/>
  <c r="E21" i="7" s="1"/>
  <c r="G24" i="7"/>
  <c r="D34" i="5"/>
  <c r="C43" i="5"/>
  <c r="C11" i="5"/>
  <c r="C15" i="5" s="1"/>
  <c r="C28" i="5" s="1"/>
  <c r="C32" i="2"/>
  <c r="G23" i="2"/>
  <c r="E21" i="5"/>
  <c r="E8" i="6"/>
  <c r="E44" i="6" s="1"/>
  <c r="E11" i="7"/>
  <c r="C18" i="7"/>
  <c r="C20" i="7" s="1"/>
  <c r="C21" i="7" s="1"/>
  <c r="K6" i="10"/>
  <c r="M6" i="10" s="1"/>
  <c r="K14" i="10"/>
  <c r="M14" i="10" s="1"/>
  <c r="E24" i="10" s="1"/>
  <c r="K9" i="10"/>
  <c r="M9" i="10" s="1"/>
  <c r="E19" i="5" l="1"/>
  <c r="F19" i="5" s="1"/>
  <c r="E23" i="5"/>
  <c r="D35" i="5"/>
  <c r="D30" i="7"/>
  <c r="D38" i="5"/>
  <c r="G18" i="5"/>
  <c r="E25" i="5"/>
  <c r="C26" i="6"/>
  <c r="C11" i="11"/>
  <c r="H22" i="5"/>
  <c r="M12" i="10"/>
  <c r="C28" i="10" s="1"/>
  <c r="M13" i="10"/>
  <c r="C13" i="5"/>
  <c r="C9" i="5"/>
  <c r="I36" i="6"/>
  <c r="H24" i="7"/>
  <c r="G29" i="5"/>
  <c r="F10" i="6"/>
  <c r="F43" i="6" s="1"/>
  <c r="E39" i="5"/>
  <c r="D15" i="6"/>
  <c r="D12" i="6"/>
  <c r="C27" i="2"/>
  <c r="E24" i="5"/>
  <c r="E15" i="5"/>
  <c r="E9" i="5"/>
  <c r="F9" i="5" s="1"/>
  <c r="E13" i="5"/>
  <c r="G8" i="5"/>
  <c r="F37" i="5"/>
  <c r="E28" i="2"/>
  <c r="E11" i="6"/>
  <c r="E17" i="6"/>
  <c r="D32" i="2"/>
  <c r="C10" i="11"/>
  <c r="H12" i="5"/>
  <c r="D29" i="2"/>
  <c r="D24" i="6"/>
  <c r="F14" i="6" l="1"/>
  <c r="D26" i="6"/>
  <c r="D16" i="6"/>
  <c r="C6" i="11"/>
  <c r="H8" i="5"/>
  <c r="G37" i="5"/>
  <c r="F28" i="2"/>
  <c r="C7" i="11"/>
  <c r="H18" i="5"/>
  <c r="G9" i="5"/>
  <c r="F11" i="5"/>
  <c r="E28" i="5"/>
  <c r="D39" i="5"/>
  <c r="D42" i="5"/>
  <c r="E12" i="6"/>
  <c r="E15" i="6"/>
  <c r="D27" i="2"/>
  <c r="E24" i="6"/>
  <c r="C13" i="11"/>
  <c r="H29" i="5"/>
  <c r="G10" i="6"/>
  <c r="G43" i="6" s="1"/>
  <c r="I12" i="5"/>
  <c r="C29" i="6"/>
  <c r="C27" i="6"/>
  <c r="I24" i="7"/>
  <c r="J36" i="6"/>
  <c r="J24" i="7" s="1"/>
  <c r="I22" i="5"/>
  <c r="F21" i="5"/>
  <c r="G19" i="5"/>
  <c r="E16" i="6" l="1"/>
  <c r="E26" i="6"/>
  <c r="C32" i="6"/>
  <c r="C31" i="6"/>
  <c r="H37" i="5"/>
  <c r="G28" i="2"/>
  <c r="I8" i="5"/>
  <c r="D29" i="6"/>
  <c r="D27" i="6"/>
  <c r="C30" i="2"/>
  <c r="G14" i="6"/>
  <c r="C8" i="11"/>
  <c r="F45" i="11" s="1"/>
  <c r="G11" i="5"/>
  <c r="H9" i="5"/>
  <c r="J12" i="5"/>
  <c r="F23" i="5"/>
  <c r="F24" i="5"/>
  <c r="F25" i="5"/>
  <c r="F33" i="5" s="1"/>
  <c r="F9" i="6" s="1"/>
  <c r="I29" i="5"/>
  <c r="H10" i="6"/>
  <c r="H43" i="6" s="1"/>
  <c r="I18" i="5"/>
  <c r="G45" i="11"/>
  <c r="F43" i="11"/>
  <c r="E41" i="11"/>
  <c r="D36" i="11"/>
  <c r="C34" i="11"/>
  <c r="E45" i="11"/>
  <c r="D43" i="11"/>
  <c r="C41" i="11"/>
  <c r="G35" i="11"/>
  <c r="F33" i="11"/>
  <c r="D45" i="11"/>
  <c r="C45" i="11"/>
  <c r="G42" i="11"/>
  <c r="F37" i="11"/>
  <c r="E35" i="11"/>
  <c r="D33" i="11"/>
  <c r="G44" i="11"/>
  <c r="F42" i="11"/>
  <c r="E42" i="11"/>
  <c r="D37" i="11"/>
  <c r="C35" i="11"/>
  <c r="E44" i="11"/>
  <c r="D42" i="11"/>
  <c r="C37" i="11"/>
  <c r="G34" i="11"/>
  <c r="G41" i="11"/>
  <c r="F36" i="11"/>
  <c r="E34" i="11"/>
  <c r="G43" i="11"/>
  <c r="F41" i="11"/>
  <c r="E36" i="11"/>
  <c r="F13" i="5"/>
  <c r="F14" i="5"/>
  <c r="F15" i="5"/>
  <c r="F32" i="5" s="1"/>
  <c r="C9" i="11"/>
  <c r="E33" i="11" s="1"/>
  <c r="H19" i="5"/>
  <c r="G21" i="5"/>
  <c r="J22" i="5"/>
  <c r="J8" i="5" l="1"/>
  <c r="I37" i="5"/>
  <c r="F34" i="11"/>
  <c r="I19" i="5"/>
  <c r="H21" i="5"/>
  <c r="C44" i="11"/>
  <c r="G33" i="11"/>
  <c r="F44" i="11"/>
  <c r="C36" i="11"/>
  <c r="D41" i="11"/>
  <c r="C33" i="6"/>
  <c r="C29" i="7"/>
  <c r="C8" i="8"/>
  <c r="C31" i="8" s="1"/>
  <c r="C37" i="6"/>
  <c r="G23" i="5"/>
  <c r="G24" i="5"/>
  <c r="G25" i="5"/>
  <c r="G33" i="5" s="1"/>
  <c r="G9" i="6" s="1"/>
  <c r="I9" i="5"/>
  <c r="H11" i="5"/>
  <c r="G13" i="5"/>
  <c r="G14" i="5"/>
  <c r="G15" i="5"/>
  <c r="G32" i="5" s="1"/>
  <c r="G36" i="11"/>
  <c r="C33" i="11"/>
  <c r="F35" i="11"/>
  <c r="C42" i="11"/>
  <c r="G37" i="11"/>
  <c r="E43" i="11"/>
  <c r="E27" i="6"/>
  <c r="E29" i="6"/>
  <c r="D30" i="2"/>
  <c r="D31" i="6"/>
  <c r="D32" i="6"/>
  <c r="H14" i="6"/>
  <c r="F34" i="5"/>
  <c r="F8" i="6"/>
  <c r="J18" i="5"/>
  <c r="D35" i="11"/>
  <c r="D34" i="11"/>
  <c r="D44" i="11"/>
  <c r="E37" i="11"/>
  <c r="C43" i="11"/>
  <c r="I10" i="6"/>
  <c r="I43" i="6" s="1"/>
  <c r="J29" i="5"/>
  <c r="J10" i="6" s="1"/>
  <c r="J43" i="6" s="1"/>
  <c r="F21" i="6" l="1"/>
  <c r="F11" i="6"/>
  <c r="F41" i="6"/>
  <c r="F20" i="6"/>
  <c r="E29" i="2"/>
  <c r="F17" i="6"/>
  <c r="J9" i="5"/>
  <c r="J11" i="5" s="1"/>
  <c r="I11" i="5"/>
  <c r="D29" i="7"/>
  <c r="C35" i="2" s="1"/>
  <c r="D8" i="8"/>
  <c r="D31" i="8" s="1"/>
  <c r="D37" i="6"/>
  <c r="D33" i="6"/>
  <c r="I14" i="6"/>
  <c r="G8" i="6"/>
  <c r="G34" i="5"/>
  <c r="J15" i="5"/>
  <c r="J32" i="5" s="1"/>
  <c r="J37" i="5"/>
  <c r="F30" i="7"/>
  <c r="F9" i="7"/>
  <c r="F35" i="5"/>
  <c r="F39" i="5" s="1"/>
  <c r="F38" i="5"/>
  <c r="E32" i="6"/>
  <c r="E31" i="6"/>
  <c r="J19" i="5"/>
  <c r="J21" i="5" s="1"/>
  <c r="I21" i="5"/>
  <c r="H23" i="5"/>
  <c r="H24" i="5"/>
  <c r="H25" i="5"/>
  <c r="H33" i="5" s="1"/>
  <c r="H9" i="6" s="1"/>
  <c r="H13" i="5"/>
  <c r="H14" i="5"/>
  <c r="H15" i="5"/>
  <c r="H32" i="5" s="1"/>
  <c r="G35" i="5" l="1"/>
  <c r="G39" i="5" s="1"/>
  <c r="G9" i="7"/>
  <c r="G38" i="5"/>
  <c r="G20" i="6"/>
  <c r="G21" i="6"/>
  <c r="G11" i="6"/>
  <c r="F29" i="2"/>
  <c r="G17" i="6"/>
  <c r="D38" i="6"/>
  <c r="C33" i="2"/>
  <c r="J14" i="6"/>
  <c r="I23" i="5"/>
  <c r="I24" i="5"/>
  <c r="I25" i="5"/>
  <c r="I33" i="5" s="1"/>
  <c r="I9" i="6" s="1"/>
  <c r="J23" i="5"/>
  <c r="J24" i="5"/>
  <c r="F44" i="6"/>
  <c r="E32" i="2"/>
  <c r="J13" i="5"/>
  <c r="J14" i="5"/>
  <c r="F11" i="7"/>
  <c r="F12" i="8" s="1"/>
  <c r="F17" i="7"/>
  <c r="E27" i="2"/>
  <c r="F15" i="6"/>
  <c r="F12" i="6"/>
  <c r="J34" i="5"/>
  <c r="J8" i="6"/>
  <c r="I13" i="5"/>
  <c r="I14" i="5"/>
  <c r="I15" i="5"/>
  <c r="I32" i="5" s="1"/>
  <c r="H8" i="6"/>
  <c r="H34" i="5"/>
  <c r="E33" i="6"/>
  <c r="E29" i="7"/>
  <c r="D35" i="2" s="1"/>
  <c r="E37" i="6"/>
  <c r="E8" i="8"/>
  <c r="E31" i="8" s="1"/>
  <c r="F23" i="6"/>
  <c r="F24" i="6" s="1"/>
  <c r="F42" i="6"/>
  <c r="J25" i="5"/>
  <c r="J33" i="5" s="1"/>
  <c r="J9" i="6" s="1"/>
  <c r="F11" i="8"/>
  <c r="J9" i="7" l="1"/>
  <c r="J35" i="5"/>
  <c r="J39" i="5" s="1"/>
  <c r="F45" i="6"/>
  <c r="E31" i="2"/>
  <c r="J11" i="6"/>
  <c r="J21" i="6"/>
  <c r="J20" i="6"/>
  <c r="J23" i="6" s="1"/>
  <c r="J24" i="6" s="1"/>
  <c r="G23" i="6"/>
  <c r="G24" i="6" s="1"/>
  <c r="G42" i="6"/>
  <c r="F27" i="2"/>
  <c r="G11" i="7"/>
  <c r="G12" i="8" s="1"/>
  <c r="G17" i="7"/>
  <c r="G15" i="6"/>
  <c r="G12" i="6"/>
  <c r="E38" i="6"/>
  <c r="D33" i="2"/>
  <c r="F26" i="6"/>
  <c r="F16" i="6"/>
  <c r="F13" i="8"/>
  <c r="F18" i="7"/>
  <c r="G41" i="6"/>
  <c r="J38" i="5"/>
  <c r="H20" i="6"/>
  <c r="H11" i="6"/>
  <c r="H21" i="6"/>
  <c r="H17" i="6"/>
  <c r="G29" i="2"/>
  <c r="J17" i="6"/>
  <c r="G27" i="9"/>
  <c r="G28" i="9" s="1"/>
  <c r="G11" i="8"/>
  <c r="I34" i="5"/>
  <c r="I8" i="6"/>
  <c r="H35" i="5"/>
  <c r="H39" i="5" s="1"/>
  <c r="H9" i="7"/>
  <c r="H38" i="5"/>
  <c r="F27" i="9"/>
  <c r="F28" i="9" s="1"/>
  <c r="G30" i="7"/>
  <c r="J42" i="6"/>
  <c r="J45" i="6" s="1"/>
  <c r="H11" i="8" l="1"/>
  <c r="J17" i="7"/>
  <c r="J11" i="7"/>
  <c r="J15" i="6"/>
  <c r="H11" i="7"/>
  <c r="H12" i="8" s="1"/>
  <c r="H17" i="7"/>
  <c r="G27" i="2"/>
  <c r="H15" i="6"/>
  <c r="H12" i="6"/>
  <c r="J41" i="6"/>
  <c r="J44" i="6" s="1"/>
  <c r="G16" i="6"/>
  <c r="G26" i="6"/>
  <c r="H23" i="6"/>
  <c r="H24" i="6" s="1"/>
  <c r="H42" i="6"/>
  <c r="G13" i="8"/>
  <c r="G18" i="7"/>
  <c r="F27" i="6"/>
  <c r="F21" i="9"/>
  <c r="F29" i="6"/>
  <c r="E30" i="2"/>
  <c r="H30" i="7"/>
  <c r="H41" i="6"/>
  <c r="I20" i="6"/>
  <c r="I41" i="6"/>
  <c r="I44" i="6" s="1"/>
  <c r="I11" i="6"/>
  <c r="I21" i="6"/>
  <c r="I17" i="6"/>
  <c r="F32" i="2"/>
  <c r="G44" i="6"/>
  <c r="J27" i="9"/>
  <c r="J11" i="8"/>
  <c r="I9" i="7"/>
  <c r="I35" i="5"/>
  <c r="I39" i="5" s="1"/>
  <c r="I38" i="5"/>
  <c r="F31" i="2"/>
  <c r="G45" i="6"/>
  <c r="J30" i="7"/>
  <c r="F30" i="6" l="1"/>
  <c r="F31" i="6" s="1"/>
  <c r="F32" i="6"/>
  <c r="H45" i="6"/>
  <c r="G31" i="2"/>
  <c r="J12" i="8"/>
  <c r="F22" i="9"/>
  <c r="F23" i="9" s="1"/>
  <c r="F29" i="9" s="1"/>
  <c r="H13" i="8"/>
  <c r="H18" i="7"/>
  <c r="J16" i="6"/>
  <c r="J26" i="6"/>
  <c r="I11" i="7"/>
  <c r="I12" i="8" s="1"/>
  <c r="I12" i="6"/>
  <c r="I17" i="7"/>
  <c r="I15" i="6"/>
  <c r="J12" i="6"/>
  <c r="G27" i="6"/>
  <c r="G21" i="9"/>
  <c r="G29" i="6"/>
  <c r="F30" i="2"/>
  <c r="J13" i="8"/>
  <c r="J18" i="7"/>
  <c r="H16" i="6"/>
  <c r="H26" i="6"/>
  <c r="G32" i="2"/>
  <c r="H44" i="6"/>
  <c r="I23" i="6"/>
  <c r="I24" i="6" s="1"/>
  <c r="I42" i="6"/>
  <c r="I45" i="6" s="1"/>
  <c r="I27" i="9"/>
  <c r="I28" i="9" s="1"/>
  <c r="I11" i="8"/>
  <c r="I30" i="7"/>
  <c r="H27" i="9"/>
  <c r="H28" i="9" s="1"/>
  <c r="F33" i="9" l="1"/>
  <c r="G30" i="6"/>
  <c r="G31" i="6" s="1"/>
  <c r="G32" i="6"/>
  <c r="I16" i="6"/>
  <c r="I26" i="6"/>
  <c r="I13" i="8"/>
  <c r="I18" i="7"/>
  <c r="H21" i="9"/>
  <c r="H27" i="6"/>
  <c r="G30" i="2"/>
  <c r="H29" i="6"/>
  <c r="F29" i="7"/>
  <c r="E35" i="2" s="1"/>
  <c r="F19" i="7"/>
  <c r="F33" i="6"/>
  <c r="F37" i="6"/>
  <c r="F8" i="8"/>
  <c r="F14" i="8" s="1"/>
  <c r="G22" i="9"/>
  <c r="G23" i="9" s="1"/>
  <c r="G29" i="9" s="1"/>
  <c r="J28" i="9"/>
  <c r="J21" i="9"/>
  <c r="J27" i="6"/>
  <c r="J29" i="6"/>
  <c r="G33" i="9" l="1"/>
  <c r="I27" i="6"/>
  <c r="I21" i="9"/>
  <c r="I29" i="6"/>
  <c r="E33" i="2"/>
  <c r="F38" i="6"/>
  <c r="F25" i="7"/>
  <c r="F26" i="7"/>
  <c r="G19" i="7"/>
  <c r="F28" i="7"/>
  <c r="F20" i="7"/>
  <c r="J30" i="6"/>
  <c r="J31" i="6" s="1"/>
  <c r="G29" i="7"/>
  <c r="F35" i="2" s="1"/>
  <c r="G37" i="6"/>
  <c r="G8" i="8"/>
  <c r="G14" i="8" s="1"/>
  <c r="G33" i="6"/>
  <c r="F25" i="8"/>
  <c r="F27" i="8" s="1"/>
  <c r="F30" i="8"/>
  <c r="F31" i="8" s="1"/>
  <c r="H30" i="6"/>
  <c r="H31" i="6" s="1"/>
  <c r="H32" i="6"/>
  <c r="J22" i="9"/>
  <c r="J23" i="9" s="1"/>
  <c r="J29" i="9" s="1"/>
  <c r="H22" i="9"/>
  <c r="H23" i="9" s="1"/>
  <c r="H29" i="9" s="1"/>
  <c r="H33" i="9" l="1"/>
  <c r="C37" i="9"/>
  <c r="C38" i="9" s="1"/>
  <c r="J33" i="9"/>
  <c r="G26" i="8"/>
  <c r="F8" i="7"/>
  <c r="E34" i="2"/>
  <c r="H28" i="10"/>
  <c r="C15" i="2" s="1"/>
  <c r="H30" i="10"/>
  <c r="F33" i="2"/>
  <c r="G38" i="6"/>
  <c r="H29" i="10"/>
  <c r="I30" i="6"/>
  <c r="I31" i="6" s="1"/>
  <c r="J32" i="6"/>
  <c r="G25" i="8"/>
  <c r="G30" i="8"/>
  <c r="G31" i="8" s="1"/>
  <c r="I22" i="9"/>
  <c r="I23" i="9" s="1"/>
  <c r="I29" i="9" s="1"/>
  <c r="H37" i="6"/>
  <c r="H8" i="8"/>
  <c r="H14" i="8" s="1"/>
  <c r="H33" i="6"/>
  <c r="G26" i="7"/>
  <c r="G25" i="7"/>
  <c r="F34" i="2" s="1"/>
  <c r="H19" i="7"/>
  <c r="G28" i="7"/>
  <c r="G20" i="7"/>
  <c r="I33" i="9" l="1"/>
  <c r="E53" i="9"/>
  <c r="C50" i="9"/>
  <c r="D51" i="9"/>
  <c r="F52" i="9"/>
  <c r="F49" i="9"/>
  <c r="G52" i="9"/>
  <c r="C49" i="9"/>
  <c r="G49" i="9"/>
  <c r="F51" i="9"/>
  <c r="E52" i="9"/>
  <c r="D49" i="9"/>
  <c r="G51" i="9"/>
  <c r="C51" i="9"/>
  <c r="D53" i="9"/>
  <c r="F53" i="9"/>
  <c r="G50" i="9"/>
  <c r="C53" i="9"/>
  <c r="G53" i="9"/>
  <c r="E49" i="9"/>
  <c r="E51" i="9"/>
  <c r="F50" i="9"/>
  <c r="E50" i="9"/>
  <c r="D52" i="9"/>
  <c r="C52" i="9"/>
  <c r="D50" i="9"/>
  <c r="E15" i="2"/>
  <c r="H15" i="2"/>
  <c r="F12" i="7"/>
  <c r="F21" i="7" s="1"/>
  <c r="F27" i="7"/>
  <c r="E36" i="2" s="1"/>
  <c r="H26" i="7"/>
  <c r="H25" i="7"/>
  <c r="G34" i="2" s="1"/>
  <c r="H28" i="7"/>
  <c r="H20" i="7"/>
  <c r="G33" i="2"/>
  <c r="H38" i="6"/>
  <c r="G27" i="8"/>
  <c r="J8" i="8"/>
  <c r="J14" i="8" s="1"/>
  <c r="J37" i="6"/>
  <c r="J33" i="6"/>
  <c r="I32" i="6"/>
  <c r="H25" i="8"/>
  <c r="H30" i="8"/>
  <c r="H31" i="8" s="1"/>
  <c r="H29" i="7"/>
  <c r="G35" i="2" s="1"/>
  <c r="C36" i="9"/>
  <c r="C40" i="9" s="1"/>
  <c r="C42" i="9" s="1"/>
  <c r="C44" i="9" s="1"/>
  <c r="I37" i="6" l="1"/>
  <c r="I38" i="6" s="1"/>
  <c r="I8" i="8"/>
  <c r="I14" i="8" s="1"/>
  <c r="I33" i="6"/>
  <c r="I19" i="7"/>
  <c r="J25" i="8"/>
  <c r="J30" i="8"/>
  <c r="J31" i="8" s="1"/>
  <c r="J38" i="6"/>
  <c r="G8" i="7"/>
  <c r="H26" i="8"/>
  <c r="H27" i="8" s="1"/>
  <c r="C45" i="9"/>
  <c r="C14" i="2"/>
  <c r="C39" i="9"/>
  <c r="H8" i="7" l="1"/>
  <c r="I26" i="8"/>
  <c r="G12" i="7"/>
  <c r="G21" i="7" s="1"/>
  <c r="G27" i="7"/>
  <c r="F36" i="2" s="1"/>
  <c r="I26" i="7"/>
  <c r="J19" i="7"/>
  <c r="I25" i="7"/>
  <c r="I28" i="7"/>
  <c r="I20" i="7"/>
  <c r="I25" i="8"/>
  <c r="I30" i="8"/>
  <c r="I31" i="8" s="1"/>
  <c r="I29" i="7"/>
  <c r="H14" i="2"/>
  <c r="H16" i="2" s="1"/>
  <c r="E14" i="2"/>
  <c r="J26" i="7" l="1"/>
  <c r="J28" i="7"/>
  <c r="J25" i="7"/>
  <c r="J20" i="7"/>
  <c r="J29" i="7"/>
  <c r="I27" i="8"/>
  <c r="H12" i="7"/>
  <c r="H21" i="7" s="1"/>
  <c r="H27" i="7"/>
  <c r="G36" i="2" s="1"/>
  <c r="I8" i="7" l="1"/>
  <c r="J26" i="8"/>
  <c r="J27" i="8" s="1"/>
  <c r="J8" i="7" s="1"/>
  <c r="J12" i="7" l="1"/>
  <c r="J21" i="7" s="1"/>
  <c r="J27" i="7"/>
  <c r="I12" i="7"/>
  <c r="I21" i="7" s="1"/>
  <c r="I27" i="7"/>
</calcChain>
</file>

<file path=xl/sharedStrings.xml><?xml version="1.0" encoding="utf-8"?>
<sst xmlns="http://schemas.openxmlformats.org/spreadsheetml/2006/main" count="607" uniqueCount="491">
  <si>
    <t>M/I Homes (MHO) — Coverage Initiation Model</t>
  </si>
  <si>
    <t>Three-statement model, DCF and comparable companies analysis. Built 04-Sep-2026.</t>
  </si>
  <si>
    <t>HOW TO USE THIS WORKBOOK</t>
  </si>
  <si>
    <t>Colour convention</t>
  </si>
  <si>
    <t>Blue = hard-coded input. Black = formula. Green = link to another sheet. Yellow = model output. Only blue cells should ever be typed over.</t>
  </si>
  <si>
    <t>Order of sheets</t>
  </si>
  <si>
    <t>Assumptions → Historicals → Segment Build → IS → BS → CF → DCF → Comps → Sensitivity → Summary. Everything projected flows from Assumptions.</t>
  </si>
  <si>
    <t>Where to flex first</t>
  </si>
  <si>
    <t>Assumptions, the "Southern competition premium" row. That single input carries the thesis. The Sensitivity sheet flexes it against mortgage rates live.</t>
  </si>
  <si>
    <t>Checks</t>
  </si>
  <si>
    <t>Segment Build has two tie-out rows against filed revenue and deliveries; BS has an assets-less-liabilities-and-equity check. All must read zero for 2023–2025.</t>
  </si>
  <si>
    <t>Recalculate</t>
  </si>
  <si>
    <t>The workbook is written with live formulas but no cached values. Open in Excel and press Ctrl+Alt+F9 (Cmd+Opt+F9 on Mac) for a full rebuild.</t>
  </si>
  <si>
    <t>Filed 13-Feb-2026, accession 0000799292-26-000006. Segment revenue, land and housing cost, segment operating income and depreciation come from Note 12, "Business Segments".</t>
  </si>
  <si>
    <t>Exhibit 99.1 to Form 8-K filed 28-Jan-2026. Deliveries, new contracts, backlog and average sales price by region.</t>
  </si>
  <si>
    <t>Exhibit 99.1 to Form 8-K filed 29-Jan-2025 (exhibit9914thqtr2024earnin.htm). 2024 and 2023 regional deliveries and contracts.</t>
  </si>
  <si>
    <t>Exhibit 99.1 to Form 8-K filed 31-Jan-2024 (exhibit9914thqtr2023earnin.htm).</t>
  </si>
  <si>
    <t>Q2 2026 earnings release</t>
  </si>
  <si>
    <t>Exhibit 99.1 to Form 8-K filed 29-Jul-2026. Used to calibrate the 2026 estimate: 1H revenue $1,984.0m, EPS $5.57, 22.1% reported gross margin, 4,120 deliveries, $459k ASP.</t>
  </si>
  <si>
    <t>SEC XBRL</t>
  </si>
  <si>
    <t>data.sec.gov companyfacts, CIK 0000799292, for consolidated income statement, balance sheet and cash flow. Peer equity and net income from the same API.</t>
  </si>
  <si>
    <t>Rates</t>
  </si>
  <si>
    <t>FRED. 30-yr fixed mortgage (MORTGAGE30US) 6.71% at 03-Sep-2026; 10-yr UST (DGS10) 4.79%; BB high-yield effective yield (BAMLH0A1HYBBEY) 6.03%.</t>
  </si>
  <si>
    <t>Housing macro</t>
  </si>
  <si>
    <t>FRED. Raleigh house price index (ATNHPIUS39580Q) 365.5 → 367.2 over the year to Q2-2026, +0.4%. Charlotte (ATNHPIUS16740Q) +1.1%. NC private building permits (NCBPPRIVSA) declining through 2026.</t>
  </si>
  <si>
    <t>Prices</t>
  </si>
  <si>
    <t>stockanalysis.com, 04-Sep-2026 11:44 ET, for MHO and the six comparables.</t>
  </si>
  <si>
    <t>No company guidance exists</t>
  </si>
  <si>
    <t>M/I Homes issues no quantitative forward guidance. Neither the FY2025 nor the Q2 2026 release contains a delivery, revenue, margin or EPS target — only safe-harbour boilerplate. Every projected figure in this workbook is the analyst's, not the company's.</t>
  </si>
  <si>
    <t>Tier 1 — reported fact</t>
  </si>
  <si>
    <t>All of the Historicals sheet, plus the 1H26 figures used to calibrate 2026. Verified: 42 of 42 consolidated line items match SEC XBRL to the dollar; 24 of 24 segment figures match the 10-K segment note.</t>
  </si>
  <si>
    <t>Tier 2 — extrapolated from actuals</t>
  </si>
  <si>
    <t>Cost per home, selling and G&amp;A percentages, corporate expense, tax rate, financial services margin, inventory turns. Each starts from a reported 2025 value and moves on a stated growth rate. Defensible without a view on the world.</t>
  </si>
  <si>
    <t>Tier 3 — pure judgement, no external anchor</t>
  </si>
  <si>
    <t>The mortgage rate path, the Southern and Northern competition premiums, delivery growth from 2027, gross ASP growth, and the buyback pace. These are forecasts with nothing behind them but reasoning. The competition premium is the most consequential and the least verifiable.</t>
  </si>
  <si>
    <t>How much rests on Tier 3</t>
  </si>
  <si>
    <t>Versus consensus</t>
  </si>
  <si>
    <t>Four analysts cover MHO. My 2026E EPS of $11.94 and 2027E of $14.06 both sit below the lowest published estimate (2026 range $11.96–$13.34, 2027 range $14.24–$16.49). Consensus target $170.67 against mine of $150, rating Buy against mine of Underweight. The gap is the Southern margin recovery, which I do not underwrite as fully as the street does.</t>
  </si>
  <si>
    <t>MODELLING CONVENTIONS AND JUDGEMENT CALLS</t>
  </si>
  <si>
    <t>Revenue is built by region</t>
  </si>
  <si>
    <t>Deliveries x average selling price for Northern and Southern separately, never a blended growth rate. The thesis is entirely about regional mix, so a blended rate would assume away the question.</t>
  </si>
  <si>
    <t>Gross margin is a residual</t>
  </si>
  <si>
    <t>It is not an input. Incentive load reduces the realised price; cost per home is driven separately; the margin is what is left. That is what actually happens at a closing table.</t>
  </si>
  <si>
    <t>Incentive load has two terms</t>
  </si>
  <si>
    <t>A rate term (base + slope x the excess of the mortgage rate over a 5.5% neutral) and a competition premium. The second term is necessary: mortgage rates were flat between 2024 and 2025 while the Southern margin fell 680bp, so rates cannot be the explanation.</t>
  </si>
  <si>
    <t>Gross margin is shown two ways</t>
  </si>
  <si>
    <t>MHO reports gross margin on total revenue, which includes financial services revenue carrying no land or housing cost. That flatters the headline by roughly 200bp. The homebuilding-only margin is shown alongside it throughout.</t>
  </si>
  <si>
    <t>Charges are separated</t>
  </si>
  <si>
    <t>The $47.7m of 2025 inventory write-offs ($41.0m of it Southern) is stripped out of cost per home and modelled as its own line, so the underlying unit economics are visible.</t>
  </si>
  <si>
    <t>Financial services debt is excluded from net debt</t>
  </si>
  <si>
    <t>Warehouse facilities fund mortgage loans held for sale and are matched by those assets. Including them would overstate leverage.</t>
  </si>
  <si>
    <t>Stock compensation is a real cost</t>
  </si>
  <si>
    <t>Deducted in the free cash flow build. Adding it back would raise the DCF by roughly $6 per share.</t>
  </si>
  <si>
    <t>Other liabilities is the revenue-driven line</t>
  </si>
  <si>
    <t>Accounts payable, accrued compensation, customer deposits and warranty reserve are modelled at 14.4–14.6% of revenue, in line with 2025. The balance sheet ties without a plug.</t>
  </si>
  <si>
    <t>Two segments, not seventeen</t>
  </si>
  <si>
    <t>MHO reports Northern and Southern only. Raleigh and Charlotte cannot be isolated from Florida and Texas in the filings, so "Southern" is the closest proxy for the North Carolina thesis available from public data. Division-level colour would have to come from management.</t>
  </si>
  <si>
    <t>Financial services is valued inside the consolidated DCF</t>
  </si>
  <si>
    <t>It is a mortgage origination business with a different risk profile and arguably deserves separate treatment. At 13% of segment operating income the simplification is tolerable, not correct.</t>
  </si>
  <si>
    <t>Terminal value carries most of the DCF</t>
  </si>
  <si>
    <t>Roughly 74%. That is unavoidable for a cyclical with heavy near-term working capital investment. The DCF still carries 60% of the target, because the alternative — the peer multiple — prices a re-rating the company has not earned.</t>
  </si>
  <si>
    <t>Peer book values are not all the same date</t>
  </si>
  <si>
    <t>Horton, Lennar and Toll have non-December year ends; each is taken from its most recent 10-Q. The staleness is at most one quarter.</t>
  </si>
  <si>
    <t>The comp set excludes NVR</t>
  </si>
  <si>
    <t>Its land-option model produces a structurally different balance sheet and a book multiple that is not comparable.</t>
  </si>
  <si>
    <t>M/I Homes (NYSE: MHO) — Initiation of Coverage</t>
  </si>
  <si>
    <t>Prepared 04-Sep-2026.  All figures traceable to SEC filings; see README for sources.</t>
  </si>
  <si>
    <t>RECOMMENDATION</t>
  </si>
  <si>
    <t>Rating</t>
  </si>
  <si>
    <t>UNDERWEIGHT</t>
  </si>
  <si>
    <t>12-month price target ($)</t>
  </si>
  <si>
    <t>Weighted across the four methods below. See the note for how the weights were chosen.</t>
  </si>
  <si>
    <t>Current price ($)</t>
  </si>
  <si>
    <t>Implied total return (%)</t>
  </si>
  <si>
    <t>No dividend. The entire return is price plus the buyback.</t>
  </si>
  <si>
    <t>Market capitalisation ($m)</t>
  </si>
  <si>
    <t>Method</t>
  </si>
  <si>
    <t>Value $</t>
  </si>
  <si>
    <t>vs price</t>
  </si>
  <si>
    <t>Weight</t>
  </si>
  <si>
    <t>Contribution</t>
  </si>
  <si>
    <t>Discounted cash flow (rolled forward 12 months)</t>
  </si>
  <si>
    <t>What the business earns, and what is left for shareholders after land absorbs its share. Weighted more heavily because it is the only method that prices the return gap.</t>
  </si>
  <si>
    <t>Peer median P/B on Sep-2027E book</t>
  </si>
  <si>
    <t>What the market pays other builders for a dollar of book. The multiple comes from the comp set, not from MHO, which is what makes this independent of the DCF and able to disagree with the current price.</t>
  </si>
  <si>
    <t>Weighted value per share</t>
  </si>
  <si>
    <t>Cross-check: probability-weighted value (25/50/25 across the scenarios below)</t>
  </si>
  <si>
    <t>SCENARIOS</t>
  </si>
  <si>
    <t>Scenario</t>
  </si>
  <si>
    <t>2027E EPS</t>
  </si>
  <si>
    <t>2030E EPS</t>
  </si>
  <si>
    <t>2028E ROE</t>
  </si>
  <si>
    <t>What has to be true</t>
  </si>
  <si>
    <t>Bull</t>
  </si>
  <si>
    <t>Mortgage rates to 5.4% by 2028 and Sunbelt spec supply clears: the Southern competition premium falls to 1.9pp of price by 2028. Priced on the multiple the market pays the peer earning that return.</t>
  </si>
  <si>
    <t>Base</t>
  </si>
  <si>
    <t>Rates grind to ~6.1%; the Southern competition premium decays but never disappears. Southern operating margin recovers part-way, not to the 18% of 2024. Priced on the peer median multiple.</t>
  </si>
  <si>
    <t>Bear</t>
  </si>
  <si>
    <t>Rates hold near 7%; Sunbelt oversupply persists and the Southern premium ratchets to 5.6pp. Deliveries fall, cost inflation resumes. Priced on the multiple the market pays the peer earning that return.</t>
  </si>
  <si>
    <t>KEY FINANCIALS</t>
  </si>
  <si>
    <t>($ in millions except per-share)</t>
  </si>
  <si>
    <t>2024A</t>
  </si>
  <si>
    <t>2025A</t>
  </si>
  <si>
    <t>2026E</t>
  </si>
  <si>
    <t>2027E</t>
  </si>
  <si>
    <t>2028E</t>
  </si>
  <si>
    <t>Revenue</t>
  </si>
  <si>
    <t>Homes delivered</t>
  </si>
  <si>
    <t>Gross margin — homebuilding (%)</t>
  </si>
  <si>
    <t>Operating margin (%)</t>
  </si>
  <si>
    <t>Southern operating margin (%)</t>
  </si>
  <si>
    <t>Northern operating margin (%)</t>
  </si>
  <si>
    <t>Diluted EPS ($)</t>
  </si>
  <si>
    <t>Book value per share ($)</t>
  </si>
  <si>
    <t>Return on equity (%)</t>
  </si>
  <si>
    <t>Net debt / (net cash)</t>
  </si>
  <si>
    <t>Assumptions &amp; Drivers</t>
  </si>
  <si>
    <t>DRIVER</t>
  </si>
  <si>
    <t>2023A</t>
  </si>
  <si>
    <t>2029E</t>
  </si>
  <si>
    <t>2030E</t>
  </si>
  <si>
    <t>MACRO</t>
  </si>
  <si>
    <t>30-yr fixed mortgage rate (annual avg, %)</t>
  </si>
  <si>
    <t>2023–25 actual (FRED MORTGAGE30US annual avg). 2026E+ forecast. Spot = 6.71% at 03-Sep-2026.</t>
  </si>
  <si>
    <t>Neutral mortgage rate (%)</t>
  </si>
  <si>
    <t>INCENTIVE INTENSITY  —  incentive load (% of gross ASP) = base + rate slope x (mortgage rate − neutral) + competition premium</t>
  </si>
  <si>
    <t>Northern — base incentive (% of gross ASP)</t>
  </si>
  <si>
    <t>Northern — rate slope (pp per 100bp above neutral)</t>
  </si>
  <si>
    <t>Northern — competition premium (pp)</t>
  </si>
  <si>
    <t>Southern — base incentive (% of gross ASP)</t>
  </si>
  <si>
    <t>Southern — rate slope (pp per 100bp above neutral)</t>
  </si>
  <si>
    <t>Southern — competition premium (pp)</t>
  </si>
  <si>
    <t>THE KEY INPUT. 3.6pp in 2025 and 6.0pp in 2026E: mortgage rates were flat 2024→2025, so the Southern margin collapse is a supply/competition event, not a rate event. Flex this before anything else.</t>
  </si>
  <si>
    <t>VOLUME, PRICE AND COST  (growth rates, % — projections only)</t>
  </si>
  <si>
    <t>Deliveries growth — Northern (%)</t>
  </si>
  <si>
    <t>Deliveries growth — Southern (%)</t>
  </si>
  <si>
    <t>Gross ASP growth — Northern (%)</t>
  </si>
  <si>
    <t>Gross ASP = list price before incentives.</t>
  </si>
  <si>
    <t>Gross ASP growth — Southern (%)</t>
  </si>
  <si>
    <t>Cost per home growth — Northern (%)</t>
  </si>
  <si>
    <t>Cost per home growth — Southern (%)</t>
  </si>
  <si>
    <t>Land + stick-and-brick + closing cost per unit delivered.</t>
  </si>
  <si>
    <t>OTHER INCOME STATEMENT DRIVERS</t>
  </si>
  <si>
    <t>Land sale revenue ($000)</t>
  </si>
  <si>
    <t>Financial services revenue growth (%)</t>
  </si>
  <si>
    <t>Selling expense (% of homebuilding revenue)</t>
  </si>
  <si>
    <t>Homebuilding G&amp;A (% of homebuilding revenue)</t>
  </si>
  <si>
    <t>Corporate / unallocated ($000)</t>
  </si>
  <si>
    <t>Not charged to either region in the 10-K segment note; averaged −$85m over 2023–25.</t>
  </si>
  <si>
    <t>Inventory impairment &amp; write-offs ($000)</t>
  </si>
  <si>
    <t>$47.7m in 2025, of which $41.0m Southern.</t>
  </si>
  <si>
    <t>Net interest income ($000)</t>
  </si>
  <si>
    <t>Land sale gross margin (%)</t>
  </si>
  <si>
    <t>Share of land revenue in Southern (%)</t>
  </si>
  <si>
    <t>Financial services pre-tax margin (%)</t>
  </si>
  <si>
    <t>54.3% in 2025 (op income $68.2m on revenue $125.5m).</t>
  </si>
  <si>
    <t>Effective tax rate (%)</t>
  </si>
  <si>
    <t>23.5% vs 23.5% in 2025; energy-efficiency credits keep it below statutory + state.</t>
  </si>
  <si>
    <t>BALANCE SHEET &amp; CASH FLOW DRIVERS</t>
  </si>
  <si>
    <t>Inventory turns (homebuilding revenue / ending inventory)</t>
  </si>
  <si>
    <t>1.27x in 2025. Falls in 2026E as deliveries drop faster than the land pipeline.</t>
  </si>
  <si>
    <t>Other operating assets (% of revenue)</t>
  </si>
  <si>
    <t>Other liabilities (% of revenue)</t>
  </si>
  <si>
    <t>A/P, accrued comp, customer deposits, warranty reserve. 14.4% in 2025.</t>
  </si>
  <si>
    <t>Capital expenditure ($000)</t>
  </si>
  <si>
    <t>Depreciation &amp; amortisation ($000)</t>
  </si>
  <si>
    <t>Stock-based compensation ($000)</t>
  </si>
  <si>
    <t>Share repurchase ($000)</t>
  </si>
  <si>
    <t>$202m in 2025, $177m in 2024. Assumes management sustains the pace.</t>
  </si>
  <si>
    <t>Average repurchase price ($)</t>
  </si>
  <si>
    <t>Option / RSU issuance (000 shares)</t>
  </si>
  <si>
    <t>Homebuilding debt ($000)</t>
  </si>
  <si>
    <t>Senior notes. 2029E step-down assumes the 2028 maturity is partly repaid from cash.</t>
  </si>
  <si>
    <t>Financial services debt ($000)</t>
  </si>
  <si>
    <t>Property &amp; equipment at 31-Dec-2025 ($000)</t>
  </si>
  <si>
    <t>VALUATION INPUTS</t>
  </si>
  <si>
    <t>Risk-free rate — 10-yr UST (%)</t>
  </si>
  <si>
    <t>FRED DGS10, 02-Sep-2026.</t>
  </si>
  <si>
    <t>Equity risk premium (%)</t>
  </si>
  <si>
    <t>Beta (levered)</t>
  </si>
  <si>
    <t>Blume-adjusted: 0.67 x the published 5-yr raw beta of 1.61, + 0.33 x 1.0. Raw historical betas are noisy and mean-revert, which is why Bloomberg reports the adjusted figure.</t>
  </si>
  <si>
    <t>Pre-tax cost of debt (%)</t>
  </si>
  <si>
    <t>BB index effective yield 6.03% (FRED BAMLH0A1HYBBEY) + 22bp. MHO upgraded to BB+ in 2026.</t>
  </si>
  <si>
    <t>Terminal growth rate (%)</t>
  </si>
  <si>
    <t>Share price ($)</t>
  </si>
  <si>
    <t>stockanalysis.com, 04-Sep-2026 11:44 ET.</t>
  </si>
  <si>
    <t>Shares outstanding (000)</t>
  </si>
  <si>
    <t>Per Q2-26 10-Q cover.</t>
  </si>
  <si>
    <t>Historicals — as reported</t>
  </si>
  <si>
    <t>Hand-entered from the FY2025 10-K (filed 13-Feb-2026) and the Q4 earnings releases. Nothing on this sheet is calculated except the check rows. Source for each block in column L.</t>
  </si>
  <si>
    <t>($ in thousands unless noted)</t>
  </si>
  <si>
    <t>OPERATING — by region   [FY2025 10-K MD&amp;A; Q4 earnings releases 2024–2026]</t>
  </si>
  <si>
    <t>Homes delivered — Northern</t>
  </si>
  <si>
    <t>FY25 rel. p.6 / FY24 rel. / FY23 rel.</t>
  </si>
  <si>
    <t>Homes delivered — Southern</t>
  </si>
  <si>
    <t>Homes delivered — total</t>
  </si>
  <si>
    <t>Ties to 8,112 / 9,055 / 8,921 as reported.</t>
  </si>
  <si>
    <t>New contracts — Northern</t>
  </si>
  <si>
    <t>New contracts — Southern</t>
  </si>
  <si>
    <t>Backlog units — year end</t>
  </si>
  <si>
    <t>3,002 / 2,531 / 1,809 — down 40% over two years.</t>
  </si>
  <si>
    <t>Active communities</t>
  </si>
  <si>
    <t>SEGMENT REVENUE   [FY2025 10-K, Note 12 “Business Segments”]</t>
  </si>
  <si>
    <t>Northern homebuilding</t>
  </si>
  <si>
    <t>FY2025 10-K, Note 12 Business Segments (R84) - filed 2026-02-13, acc 0000799292-26-000006</t>
  </si>
  <si>
    <t>Southern homebuilding</t>
  </si>
  <si>
    <t>Financial services</t>
  </si>
  <si>
    <t>Total revenue</t>
  </si>
  <si>
    <t>Ties to $4,033.5m / $4,504.7m / $4,417.8m as reported.</t>
  </si>
  <si>
    <t>SEGMENT LAND &amp; HOUSING COST</t>
  </si>
  <si>
    <t>Northern</t>
  </si>
  <si>
    <t>Southern</t>
  </si>
  <si>
    <t xml:space="preserve">  of which: inventory write-offs — Northern</t>
  </si>
  <si>
    <t>2025 total valuation adjustments $47.7m.</t>
  </si>
  <si>
    <t xml:space="preserve">  of which: inventory write-offs — Southern</t>
  </si>
  <si>
    <t>SEGMENT OPERATING INCOME</t>
  </si>
  <si>
    <t>Corporate / unallocated</t>
  </si>
  <si>
    <t>Total operating income</t>
  </si>
  <si>
    <t>SEGMENT SELLING AND G&amp;A</t>
  </si>
  <si>
    <t>Selling — Northern</t>
  </si>
  <si>
    <t>Selling — Southern</t>
  </si>
  <si>
    <t>G&amp;A — Northern</t>
  </si>
  <si>
    <t>G&amp;A — Southern</t>
  </si>
  <si>
    <t>G&amp;A — Financial services</t>
  </si>
  <si>
    <t>CONSOLIDATED INCOME STATEMENT   [FY2025 10-K; XBRL companyfacts CIK 0000799292]</t>
  </si>
  <si>
    <t>Land and housing costs</t>
  </si>
  <si>
    <t>Income before income taxes</t>
  </si>
  <si>
    <t>Provision for income taxes</t>
  </si>
  <si>
    <t>Net income</t>
  </si>
  <si>
    <t>Diluted weighted-average shares (000)</t>
  </si>
  <si>
    <t>Shares outstanding, year end (000)</t>
  </si>
  <si>
    <t>CONSOLIDATED BALANCE SHEET / CASH FLOW</t>
  </si>
  <si>
    <t>Cash and cash equivalents</t>
  </si>
  <si>
    <t>Inventory</t>
  </si>
  <si>
    <t>Total assets</t>
  </si>
  <si>
    <t>Homebuilding debt</t>
  </si>
  <si>
    <t>Financial services debt</t>
  </si>
  <si>
    <t>Shareholders' equity</t>
  </si>
  <si>
    <t>Cash from operating activities</t>
  </si>
  <si>
    <t>Depreciation &amp; amortisation</t>
  </si>
  <si>
    <t>Stock-based compensation</t>
  </si>
  <si>
    <t>Capital expenditure</t>
  </si>
  <si>
    <t>Share repurchases</t>
  </si>
  <si>
    <t>Net ASP — Northern ($000)</t>
  </si>
  <si>
    <t>Segment revenue per home delivered. Northern price is RISING.</t>
  </si>
  <si>
    <t>Net ASP — Southern ($000)</t>
  </si>
  <si>
    <t>Southern price is FALLING: $488.7k → $461.5k, −5.6% over two years.</t>
  </si>
  <si>
    <t>Cost per home ex-charges — Northern ($000)</t>
  </si>
  <si>
    <t>Cost per home ex-charges — Southern ($000)</t>
  </si>
  <si>
    <t>Up just 2.4% over two years. Cost is not the problem — price is.</t>
  </si>
  <si>
    <t>Gross margin — Northern (%)</t>
  </si>
  <si>
    <t>Gross margin — Southern (%)</t>
  </si>
  <si>
    <t>26.1% → 26.6% → 19.8%. A 680bp collapse in one year.</t>
  </si>
  <si>
    <t>Gross margin — homebuilding only (%)</t>
  </si>
  <si>
    <t>Gross margin — as reported (%)</t>
  </si>
  <si>
    <t>NOTE: MHO reports gross margin on TOTAL revenue, which includes zero-cost financial services revenue. That flatters the headline by ~200bp. Use the homebuilding line above for like-for-like work.</t>
  </si>
  <si>
    <t>Operating margin — Northern (%)</t>
  </si>
  <si>
    <t>Operating margin — Southern (%)</t>
  </si>
  <si>
    <t>18.2% → 18.1% → 10.4%, while Northern went 11.6% → 14.8% → 14.7%.</t>
  </si>
  <si>
    <t>Southern share of deliveries (%)</t>
  </si>
  <si>
    <t>Southern share of segment operating income (%)</t>
  </si>
  <si>
    <t>71% → 47%. The growth region stopped carrying the P&amp;L.</t>
  </si>
  <si>
    <t>18.5% → 19.2% → 12.7%.</t>
  </si>
  <si>
    <t>Segment Build — deliveries x ASP, and the incentive bridge to gross margin</t>
  </si>
  <si>
    <t>Revenue is built region by region, never off a blended growth rate. Gross margin falls out of the arithmetic: incentives cut the price, costs do not move, so the margin is the residual.</t>
  </si>
  <si>
    <t>NORTHERN HOMEBUILDING   —   Columbus, Cincinnati, Indianapolis, Chicago, Minneapolis, Detroit</t>
  </si>
  <si>
    <t>Gross ASP — list price before incentives ($000)</t>
  </si>
  <si>
    <t>Incentive load (% of gross ASP)</t>
  </si>
  <si>
    <t>Rate-driven only through 2025.</t>
  </si>
  <si>
    <t>Net ASP — realised ($000)</t>
  </si>
  <si>
    <t>Cost per home, ex-charges ($000)</t>
  </si>
  <si>
    <t>Gross profit per home ($000)</t>
  </si>
  <si>
    <t>Gross margin, ex-charges (%)</t>
  </si>
  <si>
    <t>Housing revenue</t>
  </si>
  <si>
    <t>SOUTHERN HOMEBUILDING   —   Tampa, Orlando, Sarasota, Fort Myers, CHARLOTTE, RALEIGH, Houston, San Antonio, Austin, Dallas, Nashville</t>
  </si>
  <si>
    <t>Base + rate slope + competition premium. In 2025 the rate term contributed 4.5pp and competition 3.6pp.</t>
  </si>
  <si>
    <t>LAND SALES AND FINANCIAL SERVICES</t>
  </si>
  <si>
    <t>Land sale revenue</t>
  </si>
  <si>
    <t>Financial services revenue</t>
  </si>
  <si>
    <t>BUILD-UP TO CONSOLIDATED REVENUE AND COST</t>
  </si>
  <si>
    <t>Northern segment revenue</t>
  </si>
  <si>
    <t>Southern segment revenue</t>
  </si>
  <si>
    <t>Total homebuilding revenue</t>
  </si>
  <si>
    <t>Gross margin — as reported by MHO (%)</t>
  </si>
  <si>
    <t>Company convention includes financial services revenue in the denominator.</t>
  </si>
  <si>
    <t>CHECKS  —  must tie to filed figures for 2023–2025</t>
  </si>
  <si>
    <t>Total revenue vs 10-K</t>
  </si>
  <si>
    <t>Deliveries vs press release</t>
  </si>
  <si>
    <t>Income Statement</t>
  </si>
  <si>
    <t>$ in thousands except per-share amounts. 2023–2025 as filed; 2026E–2030E driven off Segment Build and Assumptions.</t>
  </si>
  <si>
    <t>REVENUE</t>
  </si>
  <si>
    <t xml:space="preserve">   growth (%)</t>
  </si>
  <si>
    <t>Gross profit</t>
  </si>
  <si>
    <t xml:space="preserve">   gross margin — as reported (%)</t>
  </si>
  <si>
    <t xml:space="preserve">   gross margin — homebuilding only (%)</t>
  </si>
  <si>
    <t>OPERATING EXPENSES</t>
  </si>
  <si>
    <t>Selling</t>
  </si>
  <si>
    <t>General and administrative</t>
  </si>
  <si>
    <t>Total operating expenses</t>
  </si>
  <si>
    <t xml:space="preserve">   SG&amp;A as % of total revenue</t>
  </si>
  <si>
    <t>OPERATING INCOME</t>
  </si>
  <si>
    <t xml:space="preserve">   operating margin (%)</t>
  </si>
  <si>
    <t>Interest income, net of interest expense</t>
  </si>
  <si>
    <t xml:space="preserve">   effective tax rate (%)</t>
  </si>
  <si>
    <t>NET INCOME</t>
  </si>
  <si>
    <t xml:space="preserve">   net margin (%)</t>
  </si>
  <si>
    <t>PER SHARE</t>
  </si>
  <si>
    <t>MEMO — SEGMENT OPERATING INCOME</t>
  </si>
  <si>
    <t>Base case does NOT restore Southern to its 2024 peak of 18.1%. Getting back there is the bull case, not the base case.</t>
  </si>
  <si>
    <t>Balance Sheet</t>
  </si>
  <si>
    <t>$ in thousands. Cash is driven off the cash flow statement; inventory off turns. The check row at the bottom must read zero in every column.</t>
  </si>
  <si>
    <t>ASSETS</t>
  </si>
  <si>
    <t>Land, land under development, and homes under construction — 71% of assets and the reason builders trade on book.</t>
  </si>
  <si>
    <t>Property and equipment, net</t>
  </si>
  <si>
    <t>Other assets (mortgage loans held for sale, deferred tax, other)</t>
  </si>
  <si>
    <t>TOTAL ASSETS</t>
  </si>
  <si>
    <t>LIABILITIES AND EQUITY</t>
  </si>
  <si>
    <t>Homebuilding debt (senior notes)</t>
  </si>
  <si>
    <t>Financial services debt (warehouse facilities)</t>
  </si>
  <si>
    <t>Accounts payable, accruals, deposits and other</t>
  </si>
  <si>
    <t>Total liabilities</t>
  </si>
  <si>
    <t>TOTAL LIABILITIES AND EQUITY</t>
  </si>
  <si>
    <t>CHECK — assets less liabilities and equity</t>
  </si>
  <si>
    <t>Must be zero. Equity rolls forward from net income, stock comp and buybacks; other liabilities is the revenue-driven line.</t>
  </si>
  <si>
    <t>CAPITAL STRUCTURE AND RETURNS</t>
  </si>
  <si>
    <t>Tangible book value per share ($)</t>
  </si>
  <si>
    <t>Goodwill of $16.1m — immaterial, so P/B and P/TB are near-identical for MHO.</t>
  </si>
  <si>
    <t>Net debt / (net cash) — homebuilding only</t>
  </si>
  <si>
    <t>Financial services warehouse debt is excluded: it funds mortgage loans held for sale and is matched by those assets.</t>
  </si>
  <si>
    <t>Homebuilding debt / total capital (%)</t>
  </si>
  <si>
    <t>THE valuation variable. Peer P/B is 96% explained by ROE — see the Comps sheet.</t>
  </si>
  <si>
    <t>Inventory turns (x)</t>
  </si>
  <si>
    <t>Cash Flow Statement</t>
  </si>
  <si>
    <t>$ in thousands. 2023–2025 operating cash flow as filed. Projected operating cash flow is built from the balance sheet, which is why growth shows up as a cash cost.</t>
  </si>
  <si>
    <t>OPERATING ACTIVITIES</t>
  </si>
  <si>
    <t>Depreciation and amortisation</t>
  </si>
  <si>
    <t>(Increase) / decrease in inventory</t>
  </si>
  <si>
    <t>Land and work-in-process. This is where the earnings recovery goes.</t>
  </si>
  <si>
    <t>(Increase) / decrease in other operating assets</t>
  </si>
  <si>
    <t>Increase / (decrease) in other liabilities</t>
  </si>
  <si>
    <t>CASH FROM OPERATING ACTIVITIES</t>
  </si>
  <si>
    <t>INVESTING ACTIVITIES</t>
  </si>
  <si>
    <t>CASH FROM INVESTING ACTIVITIES</t>
  </si>
  <si>
    <t>FINANCING ACTIVITIES</t>
  </si>
  <si>
    <t>Net change in debt</t>
  </si>
  <si>
    <t>$202m in 2025 — 5.4% of the market cap, and the main way shareholders get paid. MHO pays no dividend.</t>
  </si>
  <si>
    <t>CASH FROM FINANCING ACTIVITIES</t>
  </si>
  <si>
    <t>Net change in cash</t>
  </si>
  <si>
    <t>Cash, beginning of period</t>
  </si>
  <si>
    <t>CASH, END OF PERIOD</t>
  </si>
  <si>
    <t>MEMO — FREE CASH FLOW</t>
  </si>
  <si>
    <t>Operating cash flow less capex</t>
  </si>
  <si>
    <t xml:space="preserve">   as % of net income</t>
  </si>
  <si>
    <t>Conversion is poor whenever the land pipeline is growing. It was 119% in 2023 when MHO stopped buying land, and 34% in 2025.</t>
  </si>
  <si>
    <t>Discounted Cash Flow</t>
  </si>
  <si>
    <t>Unlevered free cash flow, valued at 30-Sep-2026 with a mid-year convention. 2026E is included at one quarter (Q4 only).</t>
  </si>
  <si>
    <t>COST OF CAPITAL</t>
  </si>
  <si>
    <t>Risk-free rate — 10-yr UST</t>
  </si>
  <si>
    <t>Equity risk premium</t>
  </si>
  <si>
    <t>Levered beta</t>
  </si>
  <si>
    <t>Cost of equity</t>
  </si>
  <si>
    <t>Pre-tax cost of debt</t>
  </si>
  <si>
    <t>After-tax cost of debt</t>
  </si>
  <si>
    <t>Market capitalisation</t>
  </si>
  <si>
    <t>Price x shares outstanding.</t>
  </si>
  <si>
    <t>Warehouse debt excluded — it is operating, not capital-structure, debt.</t>
  </si>
  <si>
    <t>Weight of equity</t>
  </si>
  <si>
    <t>Weight of debt</t>
  </si>
  <si>
    <t>WACC</t>
  </si>
  <si>
    <t>Terminal growth rate</t>
  </si>
  <si>
    <t>UNLEVERED FREE CASH FLOW</t>
  </si>
  <si>
    <t>($ in thousands)</t>
  </si>
  <si>
    <t>EBIT (operating income)</t>
  </si>
  <si>
    <t>Cash taxes on EBIT</t>
  </si>
  <si>
    <t>NOPAT</t>
  </si>
  <si>
    <t>Add: depreciation and amortisation</t>
  </si>
  <si>
    <t>Less: capital expenditure</t>
  </si>
  <si>
    <t>Less: stock-based compensation</t>
  </si>
  <si>
    <t>Treated as a real economic cost. Excluding it would add roughly $6 per share.</t>
  </si>
  <si>
    <t>Net working capital (inventory + other assets − other liabilities)</t>
  </si>
  <si>
    <t>Less: increase in net working capital</t>
  </si>
  <si>
    <t>The heart of the matter. Land absorbs $185–235m a year once deliveries start growing again.</t>
  </si>
  <si>
    <t>Period weight (2026E = Q4 only)</t>
  </si>
  <si>
    <t>Discount period (mid-year)</t>
  </si>
  <si>
    <t>Discount factor</t>
  </si>
  <si>
    <t>Present value of free cash flow</t>
  </si>
  <si>
    <t>VALUE BRIDGE</t>
  </si>
  <si>
    <t>Sum of present values, 2026E–2030E</t>
  </si>
  <si>
    <t>Terminal value at 31-Dec-2030</t>
  </si>
  <si>
    <t>Gordon growth on 2030E free cash flow.</t>
  </si>
  <si>
    <t>Present value of terminal value</t>
  </si>
  <si>
    <t>Terminal value as % of enterprise value</t>
  </si>
  <si>
    <t>High, as it always is for a cyclical with heavy near-term working capital investment. Treat the DCF as a discipline, not an oracle.</t>
  </si>
  <si>
    <t>ENTERPRISE VALUE</t>
  </si>
  <si>
    <t>Less: net debt / (add: net cash)</t>
  </si>
  <si>
    <t>Homebuilding debt $696.9m less cash of $735.9m at 30-Jun-2026: MHO is in a net cash position.</t>
  </si>
  <si>
    <t>EQUITY VALUE</t>
  </si>
  <si>
    <t>DCF VALUE PER SHARE</t>
  </si>
  <si>
    <t>Upside / (downside) to current price</t>
  </si>
  <si>
    <t>SENSITIVITY — DCF value per share:  WACC (down) x terminal growth (across)</t>
  </si>
  <si>
    <t>WACC  \  terminal growth</t>
  </si>
  <si>
    <t>Comparable Companies</t>
  </si>
  <si>
    <t>Prices and trailing P/E at 04-Sep-2026 (stockanalysis.com). Equity from each company's most recent 10-Q. Trailing net income is derived from market cap and P/E so that every company is on the same trailing basis.</t>
  </si>
  <si>
    <t>Company</t>
  </si>
  <si>
    <t>Price $</t>
  </si>
  <si>
    <t>Mkt cap $m</t>
  </si>
  <si>
    <t>Equity $m</t>
  </si>
  <si>
    <t>GW+int $m</t>
  </si>
  <si>
    <t>P/E ttm</t>
  </si>
  <si>
    <t>Rev ttm $m</t>
  </si>
  <si>
    <t>NI ttm $m</t>
  </si>
  <si>
    <t>Shares m</t>
  </si>
  <si>
    <t>BVPS $</t>
  </si>
  <si>
    <t>TBVPS $</t>
  </si>
  <si>
    <t>P/B</t>
  </si>
  <si>
    <t>P/TB</t>
  </si>
  <si>
    <t>ROE %</t>
  </si>
  <si>
    <t>P/E x ROE</t>
  </si>
  <si>
    <t>DHI — D.R. Horton</t>
  </si>
  <si>
    <t>LEN — Lennar</t>
  </si>
  <si>
    <t>PHM — PulteGroup</t>
  </si>
  <si>
    <t>TOL — Toll Brothers</t>
  </si>
  <si>
    <t>MTH — Meritage</t>
  </si>
  <si>
    <t>TPH — Tri Pointe</t>
  </si>
  <si>
    <t>Peer median</t>
  </si>
  <si>
    <t>Peer mean</t>
  </si>
  <si>
    <t>MHO — M/I Homes</t>
  </si>
  <si>
    <t>DISPERSION — peer earnings multiples vs peer returns (Tri Pointe shown but excluded: its 22x P/E reflects trough earnings)</t>
  </si>
  <si>
    <t>Peer P/E — low</t>
  </si>
  <si>
    <t>Peer P/E — high</t>
  </si>
  <si>
    <t>Peer P/E — coefficient of variation</t>
  </si>
  <si>
    <t>Earnings multiples are tightly clustered.</t>
  </si>
  <si>
    <t>Peer ROE — low</t>
  </si>
  <si>
    <t>Peer ROE — high</t>
  </si>
  <si>
    <t>Peer ROE — coefficient of variation</t>
  </si>
  <si>
    <t>Returns vary roughly four times as much as the multiples that price them.</t>
  </si>
  <si>
    <t>Normalised ROE implied by the current share price</t>
  </si>
  <si>
    <t>At an 11.5% cost of equity and 3.5% long-run growth, a 1.16x book multiple already pays for a normalised return on equity of roughly 12.8%. The base case reaches 12.2% by 2029, so the recovery is largely in the price.</t>
  </si>
  <si>
    <t>IMPLIED VALUE PER SHARE</t>
  </si>
  <si>
    <t>Multiple</t>
  </si>
  <si>
    <t>Applied to</t>
  </si>
  <si>
    <t>Book value at Sep-2027 (est.)</t>
  </si>
  <si>
    <t>Memo: peer median P/E on 2027E EPS</t>
  </si>
  <si>
    <t>2027E diluted EPS</t>
  </si>
  <si>
    <t>Cross-check only, NOT weighted. The identity P/B = P/E x ROE means this is the same view restated.</t>
  </si>
  <si>
    <t>Memo: MHO's own P/E on 2027E EPS</t>
  </si>
  <si>
    <t>NOT a valuation. This reduces algebraically to today's share price scaled by our own EPS growth, so it cannot disagree with the market. Shown only to document why it is not used.</t>
  </si>
  <si>
    <t>Sensitivity — mortgage rates and incentive load</t>
  </si>
  <si>
    <t>Live formulas, not pasted values. Every cell re-runs the 2027E P&amp;L from gross ASP down to EPS, holding 2026E at base. Change anything on Assumptions and this grid moves.</t>
  </si>
  <si>
    <t>2027E INPUTS HELD CONSTANT  (linked — do not overwrite)</t>
  </si>
  <si>
    <t>Deliveries — Northern</t>
  </si>
  <si>
    <t>Deliveries — Southern</t>
  </si>
  <si>
    <t>Gross ASP — Northern ($000)</t>
  </si>
  <si>
    <t>Gross ASP — Southern ($000)</t>
  </si>
  <si>
    <t>Cost per home — Northern ($000)</t>
  </si>
  <si>
    <t>Cost per home — Southern ($000)</t>
  </si>
  <si>
    <t>Diluted shares (000)</t>
  </si>
  <si>
    <t>Northern competition premium (pp)</t>
  </si>
  <si>
    <t>Northern base incentive / rate slope</t>
  </si>
  <si>
    <t xml:space="preserve">   Northern rate slope</t>
  </si>
  <si>
    <t>Southern base incentive</t>
  </si>
  <si>
    <t xml:space="preserve">   Southern rate slope</t>
  </si>
  <si>
    <t>Selling (% of homebuilding revenue)</t>
  </si>
  <si>
    <t>Inventory impairment</t>
  </si>
  <si>
    <t>Net interest income</t>
  </si>
  <si>
    <t>Tax rate (%)</t>
  </si>
  <si>
    <t>Land gross margin (%)</t>
  </si>
  <si>
    <t>Southern share of land revenue (%)</t>
  </si>
  <si>
    <t>2027E DILUTED EPS ($)   —   mortgage rate (down) x Southern competition premium (across)</t>
  </si>
  <si>
    <t>30-yr mortgage rate  \  competition premium (pp of gross ASP)</t>
  </si>
  <si>
    <t>Read across, then down. A 175bp move in mortgage rates is worth about $2.40 of 2027 EPS. A 5.5pp move in the Southern competition premium is worth about $4.00. The competitive variable matters more than the Fed.</t>
  </si>
  <si>
    <t>2027E HOMEBUILDING GROSS MARGIN (%)   —   mortgage rate (down) x Southern competition premium (across)</t>
  </si>
  <si>
    <t>For reference, MHO ran a 24.7% homebuilding gross margin in 2024 and 19.5% in the first half of 2026.</t>
  </si>
  <si>
    <t>BASE CASE IS THE SHADED CELL:  6.35% mortgage rate, 4.6pp Southern competition premium</t>
  </si>
  <si>
    <t>North Carolina led the country in net domestic in-migration in the year to July 2025. M/I Homes' Southern segment, which contains</t>
  </si>
  <si>
    <t>Raleigh and Charlotte, nonetheless saw its operating margin fall from 18.1% to 10.4% in a single year, while the unfashionable Northern</t>
  </si>
  <si>
    <t>segment held at 14.7%. Mortgage rates were flat across that period, so this was not a rate shock.</t>
  </si>
  <si>
    <t>Cost per home barely moved. The whole margin decline was price given back at the closing table.</t>
  </si>
  <si>
    <t>Validation of the target value.</t>
  </si>
  <si>
    <t>SOURCES</t>
  </si>
  <si>
    <t>PROVENANCE</t>
  </si>
  <si>
    <t>KNOWN LIMITATIONS</t>
  </si>
  <si>
    <t>VALUATION SUMMARY</t>
  </si>
  <si>
    <t>Rate at which a builder needs no abnormal incentive. Single input applies to all years.</t>
  </si>
  <si>
    <t>Incentive over and above what the rate alone justifies. Zero through 2025 by construction, the Northern margin held.</t>
  </si>
  <si>
    <t>Mortgage warehouse facilities matched by loans held for sale; excluded from net debt.</t>
  </si>
  <si>
    <t>Blue = hard-coded input. Every projected line in this model traces back to this sheet. Flex the incentive block first; it is where the thesis lives.</t>
  </si>
  <si>
    <t>DERIVED DIAGNOSTICS  —  analytical core of the note</t>
  </si>
  <si>
    <t>MHO screens ~17% below the peer median on P/B, but it also earns a lower return on that book than any peer except the two trading below book.</t>
  </si>
  <si>
    <t>THE comparables method. The median multiple the comp set trades at, applied to our own book estimate. Scenarios instead take the multiple the market puts on the builder actually earning that return — Lennar for the bear case, D. R. orton for the bull — so every multiple in the model belongs to a company you can look up.</t>
  </si>
  <si>
    <t>Of the $2.12 of 2027E EPS growth over 2026E: $1.08 is volume, price, cost and buyback; $0.40 is the mortgage-rate decline; $0.63 (30%) is the Southern competition premium decaying. The rate path and the premium together, 49% of the step-up, are Tier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</si>
</sst>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0&quot;%&quot;"/>
    <numFmt numFmtId="165" formatCode="#,##0.00;\(#,##0.00\);&quot;—&quot;"/>
    <numFmt numFmtId="166" formatCode="#,##0;\(#,##0\);&quot;—&quot;"/>
    <numFmt numFmtId="167" formatCode="0.0&quot;%&quot;"/>
    <numFmt numFmtId="168" formatCode="#,##0.0;\(#,##0.0\);&quot;—&quot;"/>
    <numFmt numFmtId="169" formatCode="\$#,##0.00"/>
    <numFmt numFmtId="170" formatCode="0.0%;\(0.0%\);&quot;—&quot;"/>
    <numFmt numFmtId="171" formatCode="0.00&quot;x&quot;"/>
    <numFmt numFmtId="172" formatCode="#,##0.00;\(#,##0.00\);&quot;—&quot;00"/>
    <numFmt numFmtId="173" formatCode="\$#,##0"/>
  </numFmts>
  <fonts count="9" x14ac:knownFonts="1">
    <font>
      <sz val="11"/>
      <color theme="1"/>
      <name val="Calibri"/>
      <family val="2"/>
      <scheme val="minor"/>
    </font>
    <font>
      <b/>
      <sz val="15"/>
      <color rgb="FF16222E"/>
      <name val="Calibri"/>
      <family val="2"/>
    </font>
    <font>
      <i/>
      <sz val="9"/>
      <color rgb="FF6B7C8C"/>
      <name val="Calibri"/>
      <family val="2"/>
    </font>
    <font>
      <b/>
      <sz val="10"/>
      <color rgb="FFFFFFFF"/>
      <name val="Calibri"/>
      <family val="2"/>
    </font>
    <font>
      <sz val="10"/>
      <color rgb="FF16222E"/>
      <name val="Calibri"/>
      <family val="2"/>
    </font>
    <font>
      <sz val="10"/>
      <color rgb="FF0B3FA8"/>
      <name val="Calibri"/>
      <family val="2"/>
    </font>
    <font>
      <b/>
      <sz val="10"/>
      <color rgb="FF16222E"/>
      <name val="Calibri"/>
      <family val="2"/>
    </font>
    <font>
      <sz val="10"/>
      <color rgb="FF0B6B4F"/>
      <name val="Calibri"/>
      <family val="2"/>
    </font>
    <font>
      <b/>
      <sz val="10"/>
      <color rgb="FF0B6B4F"/>
      <name val="Calibri"/>
      <family val="2"/>
    </font>
  </fonts>
  <fills count="7">
    <fill>
      <patternFill patternType="none"/>
    </fill>
    <fill>
      <patternFill patternType="gray125"/>
    </fill>
    <fill>
      <patternFill patternType="solid">
        <fgColor rgb="FF1F3348"/>
      </patternFill>
    </fill>
    <fill>
      <patternFill patternType="solid">
        <fgColor rgb="FF34506B"/>
      </patternFill>
    </fill>
    <fill>
      <patternFill patternType="solid">
        <fgColor rgb="FFEEF3F8"/>
      </patternFill>
    </fill>
    <fill>
      <patternFill patternType="solid">
        <fgColor rgb="FFE4EAF0"/>
      </patternFill>
    </fill>
    <fill>
      <patternFill patternType="solid">
        <fgColor rgb="FFFFF4D6"/>
      </patternFill>
    </fill>
  </fills>
  <borders count="2">
    <border>
      <left/>
      <right/>
      <top/>
      <bottom/>
      <diagonal/>
    </border>
    <border>
      <left/>
      <right/>
      <top style="thin">
        <color rgb="FFB7C4D1"/>
      </top>
      <bottom/>
      <diagonal/>
    </border>
  </borders>
  <cellStyleXfs count="1">
    <xf numFmtId="0" fontId="0" fillId="0" borderId="0"/>
  </cellStyleXfs>
  <cellXfs count="89">
    <xf numFmtId="0" fontId="0" fillId="0" borderId="0" xfId="0"/>
    <xf numFmtId="0" fontId="1" fillId="0" borderId="0" xfId="0" applyFont="1"/>
    <xf numFmtId="0" fontId="2" fillId="0" borderId="0" xfId="0" applyFont="1"/>
    <xf numFmtId="0" fontId="3" fillId="3" borderId="0" xfId="0" applyFont="1" applyFill="1" applyAlignment="1">
      <alignment horizontal="left" vertical="center" indent="1"/>
    </xf>
    <xf numFmtId="0" fontId="6" fillId="0" borderId="0" xfId="0" applyFont="1" applyAlignment="1">
      <alignment vertical="top" indent="1"/>
    </xf>
    <xf numFmtId="0" fontId="0" fillId="0" borderId="0" xfId="0" applyAlignment="1">
      <alignment vertical="top" wrapText="1"/>
    </xf>
    <xf numFmtId="0" fontId="6" fillId="0" borderId="0" xfId="0" applyFont="1" applyAlignment="1">
      <alignment indent="1"/>
    </xf>
    <xf numFmtId="49" fontId="6" fillId="6" borderId="0" xfId="0" applyNumberFormat="1" applyFont="1" applyFill="1"/>
    <xf numFmtId="169" fontId="6" fillId="6" borderId="0" xfId="0" applyNumberFormat="1" applyFont="1" applyFill="1"/>
    <xf numFmtId="0" fontId="2" fillId="0" borderId="0" xfId="0" applyFont="1" applyAlignment="1">
      <alignment vertical="top" wrapText="1"/>
    </xf>
    <xf numFmtId="0" fontId="4" fillId="0" borderId="0" xfId="0" applyFont="1" applyAlignment="1">
      <alignment indent="1"/>
    </xf>
    <xf numFmtId="169" fontId="4" fillId="0" borderId="0" xfId="0" applyNumberFormat="1" applyFont="1"/>
    <xf numFmtId="170" fontId="6" fillId="5" borderId="0" xfId="0" applyNumberFormat="1" applyFont="1" applyFill="1"/>
    <xf numFmtId="166" fontId="4" fillId="0" borderId="0" xfId="0" applyNumberFormat="1" applyFont="1"/>
    <xf numFmtId="0" fontId="0" fillId="0" borderId="0" xfId="0" applyAlignment="1">
      <alignment indent="1"/>
    </xf>
    <xf numFmtId="0" fontId="3" fillId="2" borderId="0" xfId="0" applyFont="1" applyFill="1"/>
    <xf numFmtId="170" fontId="4" fillId="0" borderId="0" xfId="0" applyNumberFormat="1" applyFont="1"/>
    <xf numFmtId="170" fontId="5" fillId="4" borderId="0" xfId="0" applyNumberFormat="1" applyFont="1" applyFill="1"/>
    <xf numFmtId="0" fontId="6" fillId="0" borderId="1" xfId="0" applyFont="1" applyBorder="1"/>
    <xf numFmtId="0" fontId="0" fillId="0" borderId="1" xfId="0" applyBorder="1"/>
    <xf numFmtId="170" fontId="6" fillId="0" borderId="1" xfId="0" applyNumberFormat="1" applyFont="1" applyBorder="1"/>
    <xf numFmtId="169" fontId="6" fillId="6" borderId="1" xfId="0" applyNumberFormat="1" applyFont="1" applyFill="1" applyBorder="1"/>
    <xf numFmtId="0" fontId="2" fillId="0" borderId="0" xfId="0" applyFont="1" applyAlignment="1">
      <alignment indent="1"/>
    </xf>
    <xf numFmtId="169" fontId="2" fillId="0" borderId="0" xfId="0" applyNumberFormat="1" applyFont="1"/>
    <xf numFmtId="0" fontId="6" fillId="0" borderId="0" xfId="0" applyFont="1"/>
    <xf numFmtId="169" fontId="5" fillId="4" borderId="0" xfId="0" applyNumberFormat="1" applyFont="1" applyFill="1"/>
    <xf numFmtId="170" fontId="0" fillId="0" borderId="0" xfId="0" applyNumberFormat="1"/>
    <xf numFmtId="0" fontId="6" fillId="5" borderId="0" xfId="0" applyFont="1" applyFill="1"/>
    <xf numFmtId="169" fontId="4" fillId="5" borderId="0" xfId="0" applyNumberFormat="1" applyFont="1" applyFill="1"/>
    <xf numFmtId="170" fontId="4" fillId="5" borderId="0" xfId="0" applyNumberFormat="1" applyFont="1" applyFill="1"/>
    <xf numFmtId="169" fontId="5" fillId="5" borderId="0" xfId="0" applyNumberFormat="1" applyFont="1" applyFill="1"/>
    <xf numFmtId="170" fontId="0" fillId="5" borderId="0" xfId="0" applyNumberFormat="1" applyFill="1"/>
    <xf numFmtId="0" fontId="3" fillId="2" borderId="0" xfId="0" applyFont="1" applyFill="1" applyAlignment="1">
      <alignment vertical="center" indent="1"/>
    </xf>
    <xf numFmtId="0" fontId="3" fillId="2" borderId="0" xfId="0" applyFont="1" applyFill="1" applyAlignment="1">
      <alignment horizontal="center"/>
    </xf>
    <xf numFmtId="170" fontId="6" fillId="0" borderId="0" xfId="0" applyNumberFormat="1" applyFont="1"/>
    <xf numFmtId="169" fontId="6" fillId="0" borderId="0" xfId="0" applyNumberFormat="1" applyFont="1"/>
    <xf numFmtId="0" fontId="3" fillId="2" borderId="0" xfId="0" applyFont="1" applyFill="1" applyAlignment="1">
      <alignment horizontal="left" vertical="center" indent="1"/>
    </xf>
    <xf numFmtId="0" fontId="3" fillId="2" borderId="0" xfId="0" applyFont="1" applyFill="1" applyAlignment="1">
      <alignment horizontal="center" vertical="center"/>
    </xf>
    <xf numFmtId="0" fontId="4" fillId="0" borderId="0" xfId="0" applyFont="1" applyAlignment="1">
      <alignment horizontal="left" indent="1"/>
    </xf>
    <xf numFmtId="164" fontId="5" fillId="4" borderId="0" xfId="0" applyNumberFormat="1" applyFont="1" applyFill="1"/>
    <xf numFmtId="165" fontId="5" fillId="4" borderId="0" xfId="0" applyNumberFormat="1" applyFont="1" applyFill="1"/>
    <xf numFmtId="166" fontId="5" fillId="4" borderId="0" xfId="0" applyNumberFormat="1" applyFont="1" applyFill="1"/>
    <xf numFmtId="167" fontId="5" fillId="4" borderId="0" xfId="0" applyNumberFormat="1" applyFont="1" applyFill="1"/>
    <xf numFmtId="168" fontId="5" fillId="4" borderId="0" xfId="0" applyNumberFormat="1" applyFont="1" applyFill="1"/>
    <xf numFmtId="0" fontId="6" fillId="0" borderId="1" xfId="0" applyFont="1" applyBorder="1" applyAlignment="1">
      <alignment horizontal="left" indent="1"/>
    </xf>
    <xf numFmtId="166" fontId="6" fillId="5" borderId="1" xfId="0" applyNumberFormat="1" applyFont="1" applyFill="1" applyBorder="1"/>
    <xf numFmtId="0" fontId="4" fillId="0" borderId="0" xfId="0" applyFont="1" applyAlignment="1">
      <alignment horizontal="left" indent="2"/>
    </xf>
    <xf numFmtId="166" fontId="5" fillId="5" borderId="1" xfId="0" applyNumberFormat="1" applyFont="1" applyFill="1" applyBorder="1"/>
    <xf numFmtId="168" fontId="4" fillId="0" borderId="0" xfId="0" applyNumberFormat="1" applyFont="1"/>
    <xf numFmtId="0" fontId="6" fillId="0" borderId="0" xfId="0" applyFont="1" applyAlignment="1">
      <alignment horizontal="left" indent="1"/>
    </xf>
    <xf numFmtId="165" fontId="4" fillId="0" borderId="0" xfId="0" applyNumberFormat="1" applyFont="1"/>
    <xf numFmtId="166" fontId="7" fillId="0" borderId="0" xfId="0" applyNumberFormat="1" applyFont="1"/>
    <xf numFmtId="164" fontId="4" fillId="0" borderId="0" xfId="0" applyNumberFormat="1" applyFont="1"/>
    <xf numFmtId="168" fontId="8" fillId="0" borderId="0" xfId="0" applyNumberFormat="1" applyFont="1"/>
    <xf numFmtId="168" fontId="6" fillId="0" borderId="0" xfId="0" applyNumberFormat="1" applyFont="1"/>
    <xf numFmtId="168" fontId="7" fillId="0" borderId="0" xfId="0" applyNumberFormat="1" applyFont="1"/>
    <xf numFmtId="0" fontId="6" fillId="0" borderId="0" xfId="0" applyFont="1" applyAlignment="1">
      <alignment horizontal="left" indent="2"/>
    </xf>
    <xf numFmtId="165" fontId="6" fillId="5" borderId="1" xfId="0" applyNumberFormat="1" applyFont="1" applyFill="1" applyBorder="1"/>
    <xf numFmtId="166" fontId="6" fillId="0" borderId="0" xfId="0" applyNumberFormat="1" applyFont="1"/>
    <xf numFmtId="165" fontId="6" fillId="6" borderId="0" xfId="0" applyNumberFormat="1" applyFont="1" applyFill="1"/>
    <xf numFmtId="171" fontId="4" fillId="0" borderId="0" xfId="0" applyNumberFormat="1" applyFont="1"/>
    <xf numFmtId="164" fontId="6" fillId="5" borderId="0" xfId="0" applyNumberFormat="1" applyFont="1" applyFill="1"/>
    <xf numFmtId="0" fontId="0" fillId="2" borderId="0" xfId="0" applyFill="1"/>
    <xf numFmtId="172" fontId="4" fillId="0" borderId="0" xfId="0" applyNumberFormat="1" applyFont="1"/>
    <xf numFmtId="166" fontId="6" fillId="5" borderId="0" xfId="0" applyNumberFormat="1" applyFont="1" applyFill="1"/>
    <xf numFmtId="170" fontId="6" fillId="6" borderId="0" xfId="0" applyNumberFormat="1" applyFont="1" applyFill="1"/>
    <xf numFmtId="170" fontId="3" fillId="2" borderId="0" xfId="0" applyNumberFormat="1" applyFont="1" applyFill="1" applyAlignment="1">
      <alignment horizontal="center"/>
    </xf>
    <xf numFmtId="164" fontId="3" fillId="2" borderId="0" xfId="0" applyNumberFormat="1" applyFont="1" applyFill="1" applyAlignment="1">
      <alignment horizontal="center"/>
    </xf>
    <xf numFmtId="173" fontId="4" fillId="0" borderId="0" xfId="0" applyNumberFormat="1" applyFont="1"/>
    <xf numFmtId="173" fontId="6" fillId="6" borderId="0" xfId="0" applyNumberFormat="1" applyFont="1" applyFill="1"/>
    <xf numFmtId="0" fontId="3" fillId="2" borderId="0" xfId="0" applyFont="1" applyFill="1" applyAlignment="1">
      <alignment horizontal="left" vertical="center" wrapText="1"/>
    </xf>
    <xf numFmtId="0" fontId="3" fillId="2" borderId="0" xfId="0" applyFont="1" applyFill="1" applyAlignment="1">
      <alignment horizontal="center" vertical="center" wrapText="1"/>
    </xf>
    <xf numFmtId="0" fontId="4" fillId="0" borderId="0" xfId="0" applyFont="1"/>
    <xf numFmtId="171" fontId="5" fillId="4" borderId="0" xfId="0" applyNumberFormat="1" applyFont="1" applyFill="1"/>
    <xf numFmtId="171" fontId="4" fillId="6" borderId="0" xfId="0" applyNumberFormat="1" applyFont="1" applyFill="1"/>
    <xf numFmtId="171" fontId="6" fillId="5" borderId="1" xfId="0" applyNumberFormat="1" applyFont="1" applyFill="1" applyBorder="1"/>
    <xf numFmtId="170" fontId="6" fillId="5" borderId="1" xfId="0" applyNumberFormat="1" applyFont="1" applyFill="1" applyBorder="1"/>
    <xf numFmtId="171" fontId="6" fillId="0" borderId="0" xfId="0" applyNumberFormat="1" applyFont="1"/>
    <xf numFmtId="165" fontId="5" fillId="5" borderId="0" xfId="0" applyNumberFormat="1" applyFont="1" applyFill="1"/>
    <xf numFmtId="166" fontId="5" fillId="5" borderId="0" xfId="0" applyNumberFormat="1" applyFont="1" applyFill="1"/>
    <xf numFmtId="171" fontId="5" fillId="5" borderId="0" xfId="0" applyNumberFormat="1" applyFont="1" applyFill="1"/>
    <xf numFmtId="168" fontId="6" fillId="5" borderId="0" xfId="0" applyNumberFormat="1" applyFont="1" applyFill="1"/>
    <xf numFmtId="165" fontId="6" fillId="5" borderId="0" xfId="0" applyNumberFormat="1" applyFont="1" applyFill="1"/>
    <xf numFmtId="171" fontId="6" fillId="5" borderId="0" xfId="0" applyNumberFormat="1" applyFont="1" applyFill="1"/>
    <xf numFmtId="167" fontId="4" fillId="0" borderId="0" xfId="0" applyNumberFormat="1" applyFont="1"/>
    <xf numFmtId="169" fontId="6" fillId="5" borderId="0" xfId="0" applyNumberFormat="1" applyFont="1" applyFill="1"/>
    <xf numFmtId="164" fontId="7" fillId="0" borderId="0" xfId="0" applyNumberFormat="1" applyFont="1"/>
    <xf numFmtId="165" fontId="7" fillId="0" borderId="0" xfId="0" applyNumberFormat="1" applyFont="1"/>
    <xf numFmtId="167" fontId="7" fillId="0" borderId="0" xfId="0" applyNumberFormat="1"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L47"/>
  <sheetViews>
    <sheetView showGridLines="0" topLeftCell="A26" workbookViewId="0">
      <selection activeCell="C29" sqref="C29"/>
    </sheetView>
  </sheetViews>
  <sheetFormatPr baseColWidth="10" defaultColWidth="8.83203125" defaultRowHeight="15" x14ac:dyDescent="0.2"/>
  <cols>
    <col min="1" max="1" width="2.1640625" customWidth="1"/>
    <col min="2" max="2" width="34" customWidth="1"/>
    <col min="3" max="3" width="108" customWidth="1"/>
  </cols>
  <sheetData>
    <row r="2" spans="2:3" ht="22" customHeight="1" x14ac:dyDescent="0.25">
      <c r="B2" s="1" t="s">
        <v>0</v>
      </c>
    </row>
    <row r="3" spans="2:3" x14ac:dyDescent="0.2">
      <c r="B3" s="2" t="s">
        <v>1</v>
      </c>
    </row>
    <row r="5" spans="2:3" ht="15.5" customHeight="1" x14ac:dyDescent="0.2">
      <c r="B5" s="3" t="s">
        <v>2</v>
      </c>
      <c r="C5" s="3"/>
    </row>
    <row r="6" spans="2:3" ht="24" customHeight="1" x14ac:dyDescent="0.2">
      <c r="B6" s="4" t="s">
        <v>3</v>
      </c>
      <c r="C6" s="5" t="s">
        <v>4</v>
      </c>
    </row>
    <row r="7" spans="2:3" ht="24" customHeight="1" x14ac:dyDescent="0.2">
      <c r="B7" s="4" t="s">
        <v>5</v>
      </c>
      <c r="C7" s="5" t="s">
        <v>6</v>
      </c>
    </row>
    <row r="8" spans="2:3" ht="24" customHeight="1" x14ac:dyDescent="0.2">
      <c r="B8" s="4" t="s">
        <v>7</v>
      </c>
      <c r="C8" s="5" t="s">
        <v>8</v>
      </c>
    </row>
    <row r="9" spans="2:3" ht="24" customHeight="1" x14ac:dyDescent="0.2">
      <c r="B9" s="4" t="s">
        <v>9</v>
      </c>
      <c r="C9" s="5" t="s">
        <v>10</v>
      </c>
    </row>
    <row r="10" spans="2:3" ht="24" customHeight="1" x14ac:dyDescent="0.2">
      <c r="B10" s="4" t="s">
        <v>11</v>
      </c>
      <c r="C10" s="5" t="s">
        <v>12</v>
      </c>
    </row>
    <row r="11" spans="2:3" ht="8" customHeight="1" x14ac:dyDescent="0.2"/>
    <row r="12" spans="2:3" ht="15.5" customHeight="1" x14ac:dyDescent="0.2">
      <c r="B12" s="3" t="s">
        <v>479</v>
      </c>
      <c r="C12" s="3"/>
    </row>
    <row r="13" spans="2:3" ht="24" customHeight="1" x14ac:dyDescent="0.2">
      <c r="B13" s="4" t="s">
        <v>474</v>
      </c>
      <c r="C13" s="5" t="s">
        <v>13</v>
      </c>
    </row>
    <row r="14" spans="2:3" ht="24" customHeight="1" x14ac:dyDescent="0.2">
      <c r="B14" s="4" t="s">
        <v>475</v>
      </c>
      <c r="C14" s="5" t="s">
        <v>14</v>
      </c>
    </row>
    <row r="15" spans="2:3" ht="24" customHeight="1" x14ac:dyDescent="0.2">
      <c r="B15" s="4" t="s">
        <v>476</v>
      </c>
      <c r="C15" s="5" t="s">
        <v>15</v>
      </c>
    </row>
    <row r="16" spans="2:3" ht="14" customHeight="1" x14ac:dyDescent="0.2">
      <c r="B16" s="4" t="s">
        <v>477</v>
      </c>
      <c r="C16" s="5" t="s">
        <v>16</v>
      </c>
    </row>
    <row r="17" spans="2:12" ht="24" customHeight="1" x14ac:dyDescent="0.2">
      <c r="B17" s="4" t="s">
        <v>17</v>
      </c>
      <c r="C17" s="5" t="s">
        <v>18</v>
      </c>
    </row>
    <row r="18" spans="2:12" ht="24" customHeight="1" x14ac:dyDescent="0.2">
      <c r="B18" s="4" t="s">
        <v>19</v>
      </c>
      <c r="C18" s="5" t="s">
        <v>20</v>
      </c>
    </row>
    <row r="19" spans="2:12" ht="24" customHeight="1" x14ac:dyDescent="0.2">
      <c r="B19" s="4" t="s">
        <v>21</v>
      </c>
      <c r="C19" s="5" t="s">
        <v>22</v>
      </c>
    </row>
    <row r="20" spans="2:12" ht="24" customHeight="1" x14ac:dyDescent="0.2">
      <c r="B20" s="4" t="s">
        <v>23</v>
      </c>
      <c r="C20" s="5" t="s">
        <v>24</v>
      </c>
    </row>
    <row r="21" spans="2:12" ht="14" customHeight="1" x14ac:dyDescent="0.2">
      <c r="B21" s="4" t="s">
        <v>25</v>
      </c>
      <c r="C21" s="5" t="s">
        <v>26</v>
      </c>
    </row>
    <row r="22" spans="2:12" ht="8" customHeight="1" x14ac:dyDescent="0.2">
      <c r="B22" t="s">
        <v>482</v>
      </c>
    </row>
    <row r="23" spans="2:12" ht="15.5" customHeight="1" x14ac:dyDescent="0.2">
      <c r="B23" s="3" t="s">
        <v>480</v>
      </c>
      <c r="C23" s="3"/>
    </row>
    <row r="24" spans="2:12" ht="36" customHeight="1" x14ac:dyDescent="0.2">
      <c r="B24" s="4" t="s">
        <v>27</v>
      </c>
      <c r="C24" s="5" t="s">
        <v>28</v>
      </c>
    </row>
    <row r="25" spans="2:12" ht="24" customHeight="1" x14ac:dyDescent="0.2">
      <c r="B25" s="4" t="s">
        <v>29</v>
      </c>
      <c r="C25" s="5" t="s">
        <v>30</v>
      </c>
    </row>
    <row r="26" spans="2:12" ht="36" customHeight="1" x14ac:dyDescent="0.2">
      <c r="B26" s="4" t="s">
        <v>31</v>
      </c>
      <c r="C26" s="5" t="s">
        <v>32</v>
      </c>
    </row>
    <row r="27" spans="2:12" ht="36" customHeight="1" x14ac:dyDescent="0.2">
      <c r="B27" s="4" t="s">
        <v>33</v>
      </c>
      <c r="C27" s="5" t="s">
        <v>34</v>
      </c>
      <c r="L27" t="s">
        <v>478</v>
      </c>
    </row>
    <row r="28" spans="2:12" ht="36" customHeight="1" x14ac:dyDescent="0.2">
      <c r="B28" s="4" t="s">
        <v>35</v>
      </c>
      <c r="C28" s="5" t="s">
        <v>490</v>
      </c>
    </row>
    <row r="29" spans="2:12" ht="48" customHeight="1" x14ac:dyDescent="0.2">
      <c r="B29" s="4" t="s">
        <v>36</v>
      </c>
      <c r="C29" s="5" t="s">
        <v>37</v>
      </c>
    </row>
    <row r="30" spans="2:12" ht="8" customHeight="1" x14ac:dyDescent="0.2"/>
    <row r="31" spans="2:12" ht="15.5" customHeight="1" x14ac:dyDescent="0.2">
      <c r="B31" s="3" t="s">
        <v>38</v>
      </c>
      <c r="C31" s="3"/>
    </row>
    <row r="32" spans="2:12" ht="24" customHeight="1" x14ac:dyDescent="0.2">
      <c r="B32" s="4" t="s">
        <v>39</v>
      </c>
      <c r="C32" s="5" t="s">
        <v>40</v>
      </c>
    </row>
    <row r="33" spans="2:3" ht="24" customHeight="1" x14ac:dyDescent="0.2">
      <c r="B33" s="4" t="s">
        <v>41</v>
      </c>
      <c r="C33" s="5" t="s">
        <v>42</v>
      </c>
    </row>
    <row r="34" spans="2:3" ht="36" customHeight="1" x14ac:dyDescent="0.2">
      <c r="B34" s="4" t="s">
        <v>43</v>
      </c>
      <c r="C34" s="5" t="s">
        <v>44</v>
      </c>
    </row>
    <row r="35" spans="2:3" ht="36" customHeight="1" x14ac:dyDescent="0.2">
      <c r="B35" s="4" t="s">
        <v>45</v>
      </c>
      <c r="C35" s="5" t="s">
        <v>46</v>
      </c>
    </row>
    <row r="36" spans="2:3" ht="24" customHeight="1" x14ac:dyDescent="0.2">
      <c r="B36" s="4" t="s">
        <v>47</v>
      </c>
      <c r="C36" s="5" t="s">
        <v>48</v>
      </c>
    </row>
    <row r="37" spans="2:3" ht="24" customHeight="1" x14ac:dyDescent="0.2">
      <c r="B37" s="4" t="s">
        <v>49</v>
      </c>
      <c r="C37" s="5" t="s">
        <v>50</v>
      </c>
    </row>
    <row r="38" spans="2:3" ht="14" customHeight="1" x14ac:dyDescent="0.2">
      <c r="B38" s="4" t="s">
        <v>51</v>
      </c>
      <c r="C38" s="5" t="s">
        <v>52</v>
      </c>
    </row>
    <row r="39" spans="2:3" ht="24" customHeight="1" x14ac:dyDescent="0.2">
      <c r="B39" s="4" t="s">
        <v>53</v>
      </c>
      <c r="C39" s="5" t="s">
        <v>54</v>
      </c>
    </row>
    <row r="40" spans="2:3" ht="8" customHeight="1" x14ac:dyDescent="0.2"/>
    <row r="41" spans="2:3" ht="15.5" customHeight="1" x14ac:dyDescent="0.2">
      <c r="B41" s="3" t="s">
        <v>481</v>
      </c>
      <c r="C41" s="3"/>
    </row>
    <row r="42" spans="2:3" ht="36" customHeight="1" x14ac:dyDescent="0.2">
      <c r="B42" s="4" t="s">
        <v>55</v>
      </c>
      <c r="C42" s="5" t="s">
        <v>56</v>
      </c>
    </row>
    <row r="43" spans="2:3" ht="24" customHeight="1" x14ac:dyDescent="0.2">
      <c r="B43" s="4" t="s">
        <v>57</v>
      </c>
      <c r="C43" s="5" t="s">
        <v>58</v>
      </c>
    </row>
    <row r="44" spans="2:3" ht="36" customHeight="1" x14ac:dyDescent="0.2">
      <c r="B44" s="4" t="s">
        <v>59</v>
      </c>
      <c r="C44" s="5" t="s">
        <v>60</v>
      </c>
    </row>
    <row r="45" spans="2:3" ht="24" customHeight="1" x14ac:dyDescent="0.2">
      <c r="B45" s="4" t="s">
        <v>61</v>
      </c>
      <c r="C45" s="5" t="s">
        <v>62</v>
      </c>
    </row>
    <row r="46" spans="2:3" ht="24" customHeight="1" x14ac:dyDescent="0.2">
      <c r="B46" s="4" t="s">
        <v>63</v>
      </c>
      <c r="C46" s="5" t="s">
        <v>64</v>
      </c>
    </row>
    <row r="47" spans="2:3" ht="8" customHeight="1" x14ac:dyDescent="0.2"/>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348"/>
  </sheetPr>
  <dimension ref="B2:L36"/>
  <sheetViews>
    <sheetView showGridLines="0" workbookViewId="0">
      <pane xSplit="2" ySplit="5" topLeftCell="C6" activePane="bottomRight" state="frozen"/>
      <selection activeCell="B41" sqref="B41"/>
      <selection pane="topRight" activeCell="B41" sqref="B41"/>
      <selection pane="bottomLeft" activeCell="B41" sqref="B41"/>
      <selection pane="bottomRight" activeCell="L30" sqref="L30"/>
    </sheetView>
  </sheetViews>
  <sheetFormatPr baseColWidth="10" defaultColWidth="8.83203125" defaultRowHeight="15" x14ac:dyDescent="0.2"/>
  <cols>
    <col min="1" max="1" width="2.1640625" customWidth="1"/>
    <col min="2" max="2" width="46" customWidth="1"/>
    <col min="3" max="8" width="14" customWidth="1"/>
    <col min="9" max="10" width="12.6640625" customWidth="1"/>
    <col min="11" max="11" width="2.1640625" customWidth="1"/>
    <col min="12" max="12" width="62" customWidth="1"/>
  </cols>
  <sheetData>
    <row r="2" spans="2:12" ht="21" customHeight="1" x14ac:dyDescent="0.25">
      <c r="B2" s="1" t="s">
        <v>65</v>
      </c>
    </row>
    <row r="3" spans="2:12" x14ac:dyDescent="0.2">
      <c r="B3" s="2" t="s">
        <v>66</v>
      </c>
    </row>
    <row r="5" spans="2:12" ht="15.5" customHeight="1" x14ac:dyDescent="0.2">
      <c r="B5" s="3" t="s">
        <v>67</v>
      </c>
      <c r="C5" s="3"/>
      <c r="D5" s="3"/>
      <c r="E5" s="3"/>
      <c r="F5" s="3"/>
      <c r="G5" s="3"/>
      <c r="H5" s="3"/>
      <c r="I5" s="3"/>
      <c r="J5" s="3"/>
    </row>
    <row r="6" spans="2:12" x14ac:dyDescent="0.2">
      <c r="B6" s="6" t="s">
        <v>68</v>
      </c>
      <c r="C6" s="7" t="s">
        <v>69</v>
      </c>
    </row>
    <row r="7" spans="2:12" x14ac:dyDescent="0.2">
      <c r="B7" s="6" t="s">
        <v>70</v>
      </c>
      <c r="C7" s="8">
        <v>150</v>
      </c>
      <c r="L7" s="9" t="s">
        <v>71</v>
      </c>
    </row>
    <row r="8" spans="2:12" x14ac:dyDescent="0.2">
      <c r="B8" s="10" t="s">
        <v>72</v>
      </c>
      <c r="C8" s="11">
        <f>Assumptions!$C$60</f>
        <v>148.26</v>
      </c>
    </row>
    <row r="9" spans="2:12" x14ac:dyDescent="0.2">
      <c r="B9" s="6" t="s">
        <v>73</v>
      </c>
      <c r="C9" s="12">
        <f>C7/C8-1</f>
        <v>1.1736139214892916E-2</v>
      </c>
      <c r="L9" s="9" t="s">
        <v>74</v>
      </c>
    </row>
    <row r="10" spans="2:12" x14ac:dyDescent="0.2">
      <c r="B10" s="10" t="s">
        <v>75</v>
      </c>
      <c r="C10" s="13">
        <f>Assumptions!$C$60*Assumptions!$C$61/1000</f>
        <v>3747.4197599999998</v>
      </c>
    </row>
    <row r="11" spans="2:12" ht="6" customHeight="1" x14ac:dyDescent="0.2"/>
    <row r="12" spans="2:12" ht="15.5" customHeight="1" x14ac:dyDescent="0.2">
      <c r="B12" s="3" t="s">
        <v>482</v>
      </c>
      <c r="C12" s="3"/>
      <c r="D12" s="3"/>
      <c r="E12" s="3"/>
      <c r="F12" s="3"/>
      <c r="G12" s="3"/>
      <c r="H12" s="3"/>
      <c r="I12" s="3"/>
      <c r="J12" s="3"/>
    </row>
    <row r="13" spans="2:12" x14ac:dyDescent="0.2">
      <c r="B13" s="15" t="s">
        <v>480</v>
      </c>
      <c r="C13" s="15" t="s">
        <v>77</v>
      </c>
      <c r="E13" s="15" t="s">
        <v>78</v>
      </c>
      <c r="G13" s="15" t="s">
        <v>79</v>
      </c>
      <c r="H13" s="15" t="s">
        <v>80</v>
      </c>
    </row>
    <row r="14" spans="2:12" ht="26" x14ac:dyDescent="0.2">
      <c r="B14" s="14" t="s">
        <v>81</v>
      </c>
      <c r="C14" s="11">
        <f>DCF!$C$44*(1+DCF!$C$9/100)</f>
        <v>123.12507572898465</v>
      </c>
      <c r="E14" s="16">
        <f>C14/C8-1</f>
        <v>-0.16953274160943843</v>
      </c>
      <c r="G14" s="17">
        <v>0.6</v>
      </c>
      <c r="H14" s="11">
        <f>C14*G14</f>
        <v>73.875045437390796</v>
      </c>
      <c r="L14" s="9" t="s">
        <v>82</v>
      </c>
    </row>
    <row r="15" spans="2:12" ht="39" x14ac:dyDescent="0.2">
      <c r="B15" s="14" t="s">
        <v>83</v>
      </c>
      <c r="C15" s="11">
        <f>Comps!H28</f>
        <v>189.81199251076288</v>
      </c>
      <c r="E15" s="16">
        <f>C15/C8-1</f>
        <v>0.28026434986350246</v>
      </c>
      <c r="G15" s="17">
        <v>0.4</v>
      </c>
      <c r="H15" s="11">
        <f>C15*G15</f>
        <v>75.924797004305148</v>
      </c>
      <c r="L15" s="9" t="s">
        <v>84</v>
      </c>
    </row>
    <row r="16" spans="2:12" x14ac:dyDescent="0.2">
      <c r="B16" s="18" t="s">
        <v>85</v>
      </c>
      <c r="C16" s="19"/>
      <c r="E16" s="19"/>
      <c r="G16" s="20">
        <f>SUM(G14:G15)</f>
        <v>1</v>
      </c>
      <c r="H16" s="21">
        <f>SUM(H14:H15)</f>
        <v>149.79984244169594</v>
      </c>
    </row>
    <row r="17" spans="2:12" x14ac:dyDescent="0.2">
      <c r="B17" s="22" t="s">
        <v>86</v>
      </c>
      <c r="H17" s="23">
        <f>0.25*F21+0.5*F22+0.25*F23</f>
        <v>142.5</v>
      </c>
      <c r="L17" s="9" t="s">
        <v>478</v>
      </c>
    </row>
    <row r="19" spans="2:12" ht="15.5" customHeight="1" x14ac:dyDescent="0.2">
      <c r="B19" s="3" t="s">
        <v>87</v>
      </c>
      <c r="C19" s="3"/>
      <c r="D19" s="3"/>
      <c r="E19" s="3"/>
      <c r="F19" s="3"/>
      <c r="G19" s="3"/>
      <c r="H19" s="3"/>
      <c r="I19" s="3"/>
      <c r="J19" s="3"/>
    </row>
    <row r="20" spans="2:12" x14ac:dyDescent="0.2">
      <c r="B20" s="15" t="s">
        <v>88</v>
      </c>
      <c r="C20" s="15" t="s">
        <v>89</v>
      </c>
      <c r="D20" s="15" t="s">
        <v>90</v>
      </c>
      <c r="E20" s="15" t="s">
        <v>91</v>
      </c>
      <c r="F20" s="15" t="s">
        <v>77</v>
      </c>
      <c r="G20" s="15" t="s">
        <v>78</v>
      </c>
      <c r="L20" s="15" t="s">
        <v>92</v>
      </c>
    </row>
    <row r="21" spans="2:12" ht="40" customHeight="1" x14ac:dyDescent="0.2">
      <c r="B21" s="24" t="s">
        <v>93</v>
      </c>
      <c r="C21" s="11">
        <v>16.192947062847381</v>
      </c>
      <c r="D21" s="11">
        <v>26.14913067485417</v>
      </c>
      <c r="E21" s="16">
        <v>0.1258466063643327</v>
      </c>
      <c r="F21" s="25">
        <v>172</v>
      </c>
      <c r="G21" s="26">
        <f>F21/$C$8-1</f>
        <v>0.16012410629974383</v>
      </c>
      <c r="L21" s="9" t="s">
        <v>94</v>
      </c>
    </row>
    <row r="22" spans="2:12" ht="40" customHeight="1" x14ac:dyDescent="0.2">
      <c r="B22" s="27" t="s">
        <v>95</v>
      </c>
      <c r="C22" s="28">
        <v>14.06119322936485</v>
      </c>
      <c r="D22" s="28">
        <v>21.156927985872841</v>
      </c>
      <c r="E22" s="29">
        <v>0.1084713042026645</v>
      </c>
      <c r="F22" s="30">
        <v>150</v>
      </c>
      <c r="G22" s="31">
        <f>F22/$C$8-1</f>
        <v>1.1736139214892916E-2</v>
      </c>
      <c r="L22" s="9" t="s">
        <v>96</v>
      </c>
    </row>
    <row r="23" spans="2:12" ht="39" customHeight="1" x14ac:dyDescent="0.2">
      <c r="B23" s="24" t="s">
        <v>97</v>
      </c>
      <c r="C23" s="11">
        <v>9.5290850453035443</v>
      </c>
      <c r="D23" s="11">
        <v>9.886166281029503</v>
      </c>
      <c r="E23" s="16">
        <v>6.6944349022297581E-2</v>
      </c>
      <c r="F23" s="25">
        <v>98</v>
      </c>
      <c r="G23" s="26">
        <f>F23/$C$8-1</f>
        <v>-0.33899905571293665</v>
      </c>
      <c r="L23" s="9" t="s">
        <v>98</v>
      </c>
    </row>
    <row r="24" spans="2:12" ht="6" customHeight="1" x14ac:dyDescent="0.2"/>
    <row r="25" spans="2:12" ht="15.5" customHeight="1" x14ac:dyDescent="0.2">
      <c r="B25" s="3" t="s">
        <v>99</v>
      </c>
      <c r="C25" s="3"/>
      <c r="D25" s="3"/>
      <c r="E25" s="3"/>
      <c r="F25" s="3"/>
      <c r="G25" s="3"/>
      <c r="H25" s="3"/>
      <c r="I25" s="3"/>
      <c r="J25" s="3"/>
    </row>
    <row r="26" spans="2:12" x14ac:dyDescent="0.2">
      <c r="B26" s="32" t="s">
        <v>100</v>
      </c>
      <c r="C26" s="33" t="s">
        <v>101</v>
      </c>
      <c r="D26" s="33" t="s">
        <v>102</v>
      </c>
      <c r="E26" s="33" t="s">
        <v>103</v>
      </c>
      <c r="F26" s="33" t="s">
        <v>104</v>
      </c>
      <c r="G26" s="33" t="s">
        <v>105</v>
      </c>
    </row>
    <row r="27" spans="2:12" x14ac:dyDescent="0.2">
      <c r="B27" s="10" t="s">
        <v>106</v>
      </c>
      <c r="C27" s="13">
        <f>IS!D11/1000</f>
        <v>4504.67</v>
      </c>
      <c r="D27" s="13">
        <f>IS!E11/1000</f>
        <v>4417.7809999999999</v>
      </c>
      <c r="E27" s="13">
        <f>IS!F11/1000</f>
        <v>4150.5068300765497</v>
      </c>
      <c r="F27" s="13">
        <f>IS!G11/1000</f>
        <v>4429.8476379267122</v>
      </c>
      <c r="G27" s="13">
        <f>IS!H11/1000</f>
        <v>4770.7122120348322</v>
      </c>
    </row>
    <row r="28" spans="2:12" x14ac:dyDescent="0.2">
      <c r="B28" s="10" t="s">
        <v>107</v>
      </c>
      <c r="C28" s="13">
        <f>'Segment Build'!D8+'Segment Build'!D18</f>
        <v>9055</v>
      </c>
      <c r="D28" s="13">
        <f>'Segment Build'!E8+'Segment Build'!E18</f>
        <v>8921</v>
      </c>
      <c r="E28" s="13">
        <f>'Segment Build'!F8+'Segment Build'!F18</f>
        <v>8552.2609999999986</v>
      </c>
      <c r="F28" s="13">
        <f>'Segment Build'!G8+'Segment Build'!G18</f>
        <v>8926.3079099999995</v>
      </c>
      <c r="G28" s="13">
        <f>'Segment Build'!H8+'Segment Build'!H18</f>
        <v>9361.8138901499988</v>
      </c>
    </row>
    <row r="29" spans="2:12" x14ac:dyDescent="0.2">
      <c r="B29" s="6" t="s">
        <v>108</v>
      </c>
      <c r="C29" s="34">
        <f>1-IS!D14/(IS!D8+IS!D9)</f>
        <v>0.24671114996044174</v>
      </c>
      <c r="D29" s="34">
        <f>1-IS!E14/(IS!E8+IS!E9)</f>
        <v>0.20775161579361079</v>
      </c>
      <c r="E29" s="34">
        <f>1-IS!F14/(IS!F8+IS!F9)</f>
        <v>0.19326297541858817</v>
      </c>
      <c r="F29" s="34">
        <f>1-IS!G14/(IS!G8+IS!G9)</f>
        <v>0.19702918070187248</v>
      </c>
      <c r="G29" s="34">
        <f>1-IS!H14/(IS!H8+IS!H9)</f>
        <v>0.20099078435192852</v>
      </c>
    </row>
    <row r="30" spans="2:12" x14ac:dyDescent="0.2">
      <c r="B30" s="10" t="s">
        <v>109</v>
      </c>
      <c r="C30" s="16">
        <f>IS!D26/IS!D11</f>
        <v>0.15674710911121126</v>
      </c>
      <c r="D30" s="16">
        <f>IS!E26/IS!E11</f>
        <v>0.11466231576440751</v>
      </c>
      <c r="E30" s="16">
        <f>IS!F26/IS!F11</f>
        <v>9.4409352378160866E-2</v>
      </c>
      <c r="F30" s="16">
        <f>IS!G26/IS!G11</f>
        <v>0.1011804959434166</v>
      </c>
      <c r="G30" s="16">
        <f>IS!H26/IS!H11</f>
        <v>0.10799839866687597</v>
      </c>
    </row>
    <row r="31" spans="2:12" x14ac:dyDescent="0.2">
      <c r="B31" s="6" t="s">
        <v>481</v>
      </c>
      <c r="C31" s="34">
        <f>IS!D42/IS!D9</f>
        <v>0.18107569729120646</v>
      </c>
      <c r="D31" s="34">
        <f>IS!E42/IS!E9</f>
        <v>0.10407305002246175</v>
      </c>
      <c r="E31" s="34">
        <f>IS!F42/IS!F9</f>
        <v>8.9933064536696861E-2</v>
      </c>
      <c r="F31" s="34">
        <f>IS!G42/IS!G9</f>
        <v>9.5866663365228866E-2</v>
      </c>
      <c r="G31" s="34">
        <f>IS!H42/IS!H9</f>
        <v>0.10335620242556436</v>
      </c>
    </row>
    <row r="32" spans="2:12" x14ac:dyDescent="0.2">
      <c r="B32" s="6" t="s">
        <v>111</v>
      </c>
      <c r="C32" s="34">
        <f>IS!D41/IS!D8</f>
        <v>0.14794582984432211</v>
      </c>
      <c r="D32" s="34">
        <f>IS!E41/IS!E8</f>
        <v>0.14708401196112897</v>
      </c>
      <c r="E32" s="34">
        <f>IS!F41/IS!F8</f>
        <v>0.11972406877807083</v>
      </c>
      <c r="F32" s="34">
        <f>IS!G41/IS!G8</f>
        <v>0.12721807603578678</v>
      </c>
      <c r="G32" s="34">
        <f>IS!H41/IS!H8</f>
        <v>0.13286658281525809</v>
      </c>
    </row>
    <row r="33" spans="2:7" x14ac:dyDescent="0.2">
      <c r="B33" s="6" t="s">
        <v>112</v>
      </c>
      <c r="C33" s="35">
        <f>IS!D37</f>
        <v>19.710664335664337</v>
      </c>
      <c r="D33" s="35">
        <f>IS!E37</f>
        <v>14.739227448972127</v>
      </c>
      <c r="E33" s="35">
        <f>IS!F37</f>
        <v>11.941979698702143</v>
      </c>
      <c r="F33" s="35">
        <f>IS!G37</f>
        <v>14.061193229364852</v>
      </c>
      <c r="G33" s="35">
        <f>IS!H37</f>
        <v>16.663341855906143</v>
      </c>
    </row>
    <row r="34" spans="2:7" x14ac:dyDescent="0.2">
      <c r="B34" s="10" t="s">
        <v>113</v>
      </c>
      <c r="C34" s="11">
        <f>BS!D25</f>
        <v>108.63551367331856</v>
      </c>
      <c r="D34" s="11">
        <f>BS!E25</f>
        <v>122.89678997011218</v>
      </c>
      <c r="E34" s="11">
        <f>BS!F25</f>
        <v>129.10799970101053</v>
      </c>
      <c r="F34" s="11">
        <f>BS!G25</f>
        <v>141.96964502627074</v>
      </c>
      <c r="G34" s="11">
        <f>BS!H25</f>
        <v>157.50198383337735</v>
      </c>
    </row>
    <row r="35" spans="2:7" x14ac:dyDescent="0.2">
      <c r="B35" s="6" t="s">
        <v>114</v>
      </c>
      <c r="C35" s="34">
        <f>BS!D29</f>
        <v>0.1917642652577137</v>
      </c>
      <c r="D35" s="34">
        <f>BS!E29</f>
        <v>0.12726368284910256</v>
      </c>
      <c r="E35" s="34">
        <f>BS!F29</f>
        <v>9.4659304362888941E-2</v>
      </c>
      <c r="F35" s="34">
        <f>BS!G29</f>
        <v>0.10145391146058624</v>
      </c>
      <c r="G35" s="34">
        <f>BS!H29</f>
        <v>0.10847130420266449</v>
      </c>
    </row>
    <row r="36" spans="2:7" x14ac:dyDescent="0.2">
      <c r="B36" s="10" t="s">
        <v>115</v>
      </c>
      <c r="C36" s="13">
        <f>BS!D27/1000</f>
        <v>-126.578</v>
      </c>
      <c r="D36" s="13">
        <f>BS!E27/1000</f>
        <v>7.1</v>
      </c>
      <c r="E36" s="13">
        <f>BS!F27/1000</f>
        <v>-194.8135523441818</v>
      </c>
      <c r="F36" s="13">
        <f>BS!G27/1000</f>
        <v>-243.49866740180622</v>
      </c>
      <c r="G36" s="13">
        <f>BS!H27/1000</f>
        <v>-303.08407397963924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F3348"/>
  </sheetPr>
  <dimension ref="B2:L61"/>
  <sheetViews>
    <sheetView showGridLines="0" workbookViewId="0">
      <pane xSplit="2" ySplit="5" topLeftCell="C6" activePane="bottomRight" state="frozen"/>
      <selection pane="topRight"/>
      <selection pane="bottomLeft"/>
      <selection pane="bottomRight" activeCell="B3" sqref="B3"/>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2" ht="21" customHeight="1" x14ac:dyDescent="0.25">
      <c r="B2" s="1" t="s">
        <v>116</v>
      </c>
    </row>
    <row r="3" spans="2:12" x14ac:dyDescent="0.2">
      <c r="B3" s="2" t="s">
        <v>486</v>
      </c>
    </row>
    <row r="5" spans="2:12" ht="18" customHeight="1" x14ac:dyDescent="0.2">
      <c r="B5" s="36" t="s">
        <v>117</v>
      </c>
      <c r="C5" s="37" t="s">
        <v>118</v>
      </c>
      <c r="D5" s="37" t="s">
        <v>101</v>
      </c>
      <c r="E5" s="37" t="s">
        <v>102</v>
      </c>
      <c r="F5" s="37" t="s">
        <v>103</v>
      </c>
      <c r="G5" s="37" t="s">
        <v>104</v>
      </c>
      <c r="H5" s="37" t="s">
        <v>105</v>
      </c>
      <c r="I5" s="37" t="s">
        <v>119</v>
      </c>
      <c r="J5" s="37" t="s">
        <v>120</v>
      </c>
    </row>
    <row r="6" spans="2:12" ht="6" customHeight="1" x14ac:dyDescent="0.2"/>
    <row r="7" spans="2:12" ht="15.5" customHeight="1" x14ac:dyDescent="0.2">
      <c r="B7" s="3" t="s">
        <v>121</v>
      </c>
      <c r="C7" s="3"/>
      <c r="D7" s="3"/>
      <c r="E7" s="3"/>
      <c r="F7" s="3"/>
      <c r="G7" s="3"/>
      <c r="H7" s="3"/>
      <c r="I7" s="3"/>
      <c r="J7" s="3"/>
    </row>
    <row r="8" spans="2:12" ht="26" x14ac:dyDescent="0.2">
      <c r="B8" s="38" t="s">
        <v>122</v>
      </c>
      <c r="C8" s="39">
        <v>6.81</v>
      </c>
      <c r="D8" s="39">
        <v>6.8</v>
      </c>
      <c r="E8" s="39">
        <v>6.72</v>
      </c>
      <c r="F8" s="39">
        <v>6.65</v>
      </c>
      <c r="G8" s="39">
        <v>6.35</v>
      </c>
      <c r="H8" s="39">
        <v>6.1</v>
      </c>
      <c r="I8" s="39">
        <v>5.95</v>
      </c>
      <c r="J8" s="39">
        <v>5.9</v>
      </c>
      <c r="L8" s="9" t="s">
        <v>123</v>
      </c>
    </row>
    <row r="9" spans="2:12" x14ac:dyDescent="0.2">
      <c r="B9" s="14" t="s">
        <v>124</v>
      </c>
      <c r="C9" s="39">
        <v>5.5</v>
      </c>
      <c r="L9" s="2" t="s">
        <v>483</v>
      </c>
    </row>
    <row r="10" spans="2:12" ht="6" customHeight="1" x14ac:dyDescent="0.2"/>
    <row r="11" spans="2:12" ht="15.5" customHeight="1" x14ac:dyDescent="0.2">
      <c r="B11" s="3" t="s">
        <v>125</v>
      </c>
      <c r="C11" s="3"/>
      <c r="D11" s="3"/>
      <c r="E11" s="3"/>
      <c r="F11" s="3"/>
      <c r="G11" s="3"/>
      <c r="H11" s="3"/>
      <c r="I11" s="3"/>
      <c r="J11" s="3"/>
    </row>
    <row r="12" spans="2:12" x14ac:dyDescent="0.2">
      <c r="B12" s="14" t="s">
        <v>126</v>
      </c>
      <c r="C12" s="39">
        <v>0.93899999999999995</v>
      </c>
    </row>
    <row r="13" spans="2:12" x14ac:dyDescent="0.2">
      <c r="B13" s="14" t="s">
        <v>127</v>
      </c>
      <c r="C13" s="40">
        <v>0.9</v>
      </c>
    </row>
    <row r="14" spans="2:12" ht="26" x14ac:dyDescent="0.2">
      <c r="B14" s="38" t="s">
        <v>128</v>
      </c>
      <c r="C14" s="39">
        <v>0</v>
      </c>
      <c r="D14" s="39">
        <v>0</v>
      </c>
      <c r="E14" s="39">
        <v>1.2090000000000001</v>
      </c>
      <c r="F14" s="39">
        <v>3.51</v>
      </c>
      <c r="G14" s="39">
        <v>3.15</v>
      </c>
      <c r="H14" s="39">
        <v>2.9</v>
      </c>
      <c r="I14" s="39">
        <v>2.75</v>
      </c>
      <c r="J14" s="39">
        <v>2.65</v>
      </c>
      <c r="L14" s="9" t="s">
        <v>484</v>
      </c>
    </row>
    <row r="15" spans="2:12" x14ac:dyDescent="0.2">
      <c r="B15" s="14" t="s">
        <v>129</v>
      </c>
      <c r="C15" s="39">
        <v>1.944</v>
      </c>
    </row>
    <row r="16" spans="2:12" x14ac:dyDescent="0.2">
      <c r="B16" s="14" t="s">
        <v>130</v>
      </c>
      <c r="C16" s="40">
        <v>1.2</v>
      </c>
    </row>
    <row r="17" spans="2:12" ht="39" x14ac:dyDescent="0.2">
      <c r="B17" s="38" t="s">
        <v>131</v>
      </c>
      <c r="C17" s="39">
        <v>0</v>
      </c>
      <c r="D17" s="39">
        <v>0</v>
      </c>
      <c r="E17" s="39">
        <v>1.972</v>
      </c>
      <c r="F17" s="39">
        <v>4.3710000000000004</v>
      </c>
      <c r="G17" s="39">
        <v>3.75</v>
      </c>
      <c r="H17" s="39">
        <v>3.3</v>
      </c>
      <c r="I17" s="39">
        <v>3</v>
      </c>
      <c r="J17" s="39">
        <v>2.8</v>
      </c>
      <c r="L17" s="9" t="s">
        <v>132</v>
      </c>
    </row>
    <row r="18" spans="2:12" ht="6" customHeight="1" x14ac:dyDescent="0.2"/>
    <row r="19" spans="2:12" ht="15.5" customHeight="1" x14ac:dyDescent="0.2">
      <c r="B19" s="3" t="s">
        <v>133</v>
      </c>
      <c r="C19" s="3"/>
      <c r="D19" s="3"/>
      <c r="E19" s="3"/>
      <c r="F19" s="3"/>
      <c r="G19" s="3"/>
      <c r="H19" s="3"/>
      <c r="I19" s="3"/>
      <c r="J19" s="3"/>
    </row>
    <row r="20" spans="2:12" x14ac:dyDescent="0.2">
      <c r="B20" s="38" t="s">
        <v>134</v>
      </c>
      <c r="F20" s="39">
        <v>-3.9</v>
      </c>
      <c r="G20" s="39">
        <v>3.5</v>
      </c>
      <c r="H20" s="39">
        <v>4</v>
      </c>
      <c r="I20" s="39">
        <v>3.25</v>
      </c>
      <c r="J20" s="39">
        <v>3</v>
      </c>
    </row>
    <row r="21" spans="2:12" x14ac:dyDescent="0.2">
      <c r="B21" s="38" t="s">
        <v>135</v>
      </c>
      <c r="F21" s="39">
        <v>-4.3</v>
      </c>
      <c r="G21" s="39">
        <v>5</v>
      </c>
      <c r="H21" s="39">
        <v>5.5</v>
      </c>
      <c r="I21" s="39">
        <v>4.25</v>
      </c>
      <c r="J21" s="39">
        <v>4</v>
      </c>
    </row>
    <row r="22" spans="2:12" x14ac:dyDescent="0.2">
      <c r="B22" s="38" t="s">
        <v>136</v>
      </c>
      <c r="F22" s="39">
        <v>1</v>
      </c>
      <c r="G22" s="39">
        <v>2</v>
      </c>
      <c r="H22" s="39">
        <v>2.25</v>
      </c>
      <c r="I22" s="39">
        <v>2.5</v>
      </c>
      <c r="J22" s="39">
        <v>2.5</v>
      </c>
      <c r="L22" s="9" t="s">
        <v>137</v>
      </c>
    </row>
    <row r="23" spans="2:12" x14ac:dyDescent="0.2">
      <c r="B23" s="38" t="s">
        <v>138</v>
      </c>
      <c r="F23" s="39">
        <v>-1.5</v>
      </c>
      <c r="G23" s="39">
        <v>1</v>
      </c>
      <c r="H23" s="39">
        <v>2</v>
      </c>
      <c r="I23" s="39">
        <v>2.25</v>
      </c>
      <c r="J23" s="39">
        <v>2.25</v>
      </c>
    </row>
    <row r="24" spans="2:12" x14ac:dyDescent="0.2">
      <c r="B24" s="38" t="s">
        <v>139</v>
      </c>
      <c r="F24" s="39">
        <v>0</v>
      </c>
      <c r="G24" s="39">
        <v>2.2000000000000002</v>
      </c>
      <c r="H24" s="39">
        <v>2.4</v>
      </c>
      <c r="I24" s="39">
        <v>2.5</v>
      </c>
      <c r="J24" s="39">
        <v>2.5</v>
      </c>
    </row>
    <row r="25" spans="2:12" x14ac:dyDescent="0.2">
      <c r="B25" s="38" t="s">
        <v>140</v>
      </c>
      <c r="F25" s="39">
        <v>-0.3</v>
      </c>
      <c r="G25" s="39">
        <v>2</v>
      </c>
      <c r="H25" s="39">
        <v>2.2999999999999998</v>
      </c>
      <c r="I25" s="39">
        <v>2.5</v>
      </c>
      <c r="J25" s="39">
        <v>2.5</v>
      </c>
      <c r="L25" s="9" t="s">
        <v>141</v>
      </c>
    </row>
    <row r="26" spans="2:12" ht="6" customHeight="1" x14ac:dyDescent="0.2"/>
    <row r="27" spans="2:12" ht="15.5" customHeight="1" x14ac:dyDescent="0.2">
      <c r="B27" s="3" t="s">
        <v>142</v>
      </c>
      <c r="C27" s="3"/>
      <c r="D27" s="3"/>
      <c r="E27" s="3"/>
      <c r="F27" s="3"/>
      <c r="G27" s="3"/>
      <c r="H27" s="3"/>
      <c r="I27" s="3"/>
      <c r="J27" s="3"/>
    </row>
    <row r="28" spans="2:12" x14ac:dyDescent="0.2">
      <c r="B28" s="38" t="s">
        <v>143</v>
      </c>
      <c r="F28" s="41">
        <v>22000</v>
      </c>
      <c r="G28" s="41">
        <v>24000</v>
      </c>
      <c r="H28" s="41">
        <v>26000</v>
      </c>
      <c r="I28" s="41">
        <v>28000</v>
      </c>
      <c r="J28" s="41">
        <v>30000</v>
      </c>
    </row>
    <row r="29" spans="2:12" x14ac:dyDescent="0.2">
      <c r="B29" s="38" t="s">
        <v>144</v>
      </c>
      <c r="F29" s="39">
        <v>1.5</v>
      </c>
      <c r="G29" s="39">
        <v>5</v>
      </c>
      <c r="H29" s="39">
        <v>5.5</v>
      </c>
      <c r="I29" s="39">
        <v>4.5</v>
      </c>
      <c r="J29" s="39">
        <v>4.5</v>
      </c>
    </row>
    <row r="30" spans="2:12" x14ac:dyDescent="0.2">
      <c r="B30" s="38" t="s">
        <v>145</v>
      </c>
      <c r="F30" s="39">
        <v>6.2</v>
      </c>
      <c r="G30" s="39">
        <v>6</v>
      </c>
      <c r="H30" s="39">
        <v>5.8</v>
      </c>
      <c r="I30" s="39">
        <v>5.7</v>
      </c>
      <c r="J30" s="39">
        <v>5.65</v>
      </c>
    </row>
    <row r="31" spans="2:12" x14ac:dyDescent="0.2">
      <c r="B31" s="38" t="s">
        <v>146</v>
      </c>
      <c r="F31" s="39">
        <v>2.8</v>
      </c>
      <c r="G31" s="39">
        <v>2.72</v>
      </c>
      <c r="H31" s="39">
        <v>2.66</v>
      </c>
      <c r="I31" s="39">
        <v>2.63</v>
      </c>
      <c r="J31" s="39">
        <v>2.6</v>
      </c>
    </row>
    <row r="32" spans="2:12" x14ac:dyDescent="0.2">
      <c r="B32" s="38" t="s">
        <v>147</v>
      </c>
      <c r="F32" s="41">
        <v>-93000</v>
      </c>
      <c r="G32" s="41">
        <v>-96500</v>
      </c>
      <c r="H32" s="41">
        <v>-100500</v>
      </c>
      <c r="I32" s="41">
        <v>-104500</v>
      </c>
      <c r="J32" s="41">
        <v>-108500</v>
      </c>
      <c r="L32" s="9" t="s">
        <v>148</v>
      </c>
    </row>
    <row r="33" spans="2:12" x14ac:dyDescent="0.2">
      <c r="B33" s="38" t="s">
        <v>149</v>
      </c>
      <c r="F33" s="41">
        <v>16000</v>
      </c>
      <c r="G33" s="41">
        <v>9000</v>
      </c>
      <c r="H33" s="41">
        <v>7000</v>
      </c>
      <c r="I33" s="41">
        <v>7000</v>
      </c>
      <c r="J33" s="41">
        <v>7000</v>
      </c>
      <c r="L33" s="9" t="s">
        <v>150</v>
      </c>
    </row>
    <row r="34" spans="2:12" x14ac:dyDescent="0.2">
      <c r="B34" s="38" t="s">
        <v>151</v>
      </c>
      <c r="F34" s="41">
        <v>18000</v>
      </c>
      <c r="G34" s="41">
        <v>16000</v>
      </c>
      <c r="H34" s="41">
        <v>15000</v>
      </c>
      <c r="I34" s="41">
        <v>15000</v>
      </c>
      <c r="J34" s="41">
        <v>16000</v>
      </c>
    </row>
    <row r="35" spans="2:12" x14ac:dyDescent="0.2">
      <c r="B35" s="14" t="s">
        <v>152</v>
      </c>
      <c r="C35" s="39">
        <v>7</v>
      </c>
    </row>
    <row r="36" spans="2:12" x14ac:dyDescent="0.2">
      <c r="B36" s="14" t="s">
        <v>153</v>
      </c>
      <c r="C36" s="42">
        <v>65</v>
      </c>
    </row>
    <row r="37" spans="2:12" x14ac:dyDescent="0.2">
      <c r="B37" s="14" t="s">
        <v>154</v>
      </c>
      <c r="C37" s="39">
        <v>54.5</v>
      </c>
      <c r="L37" s="2" t="s">
        <v>155</v>
      </c>
    </row>
    <row r="38" spans="2:12" x14ac:dyDescent="0.2">
      <c r="B38" s="14" t="s">
        <v>156</v>
      </c>
      <c r="C38" s="39">
        <v>23.5</v>
      </c>
      <c r="L38" s="2" t="s">
        <v>157</v>
      </c>
    </row>
    <row r="39" spans="2:12" ht="6" customHeight="1" x14ac:dyDescent="0.2"/>
    <row r="40" spans="2:12" ht="15.5" customHeight="1" x14ac:dyDescent="0.2">
      <c r="B40" s="3" t="s">
        <v>158</v>
      </c>
      <c r="C40" s="3"/>
      <c r="D40" s="3"/>
      <c r="E40" s="3"/>
      <c r="F40" s="3"/>
      <c r="G40" s="3"/>
      <c r="H40" s="3"/>
      <c r="I40" s="3"/>
      <c r="J40" s="3"/>
    </row>
    <row r="41" spans="2:12" x14ac:dyDescent="0.2">
      <c r="B41" s="38" t="s">
        <v>159</v>
      </c>
      <c r="F41" s="40">
        <v>1.2</v>
      </c>
      <c r="G41" s="40">
        <v>1.22</v>
      </c>
      <c r="H41" s="40">
        <v>1.24</v>
      </c>
      <c r="I41" s="40">
        <v>1.25</v>
      </c>
      <c r="J41" s="40">
        <v>1.26</v>
      </c>
      <c r="L41" s="9" t="s">
        <v>160</v>
      </c>
    </row>
    <row r="42" spans="2:12" x14ac:dyDescent="0.2">
      <c r="B42" s="38" t="s">
        <v>161</v>
      </c>
      <c r="F42" s="39">
        <v>14.3</v>
      </c>
      <c r="G42" s="39">
        <v>14.25</v>
      </c>
      <c r="H42" s="39">
        <v>14.2</v>
      </c>
      <c r="I42" s="39">
        <v>14.15</v>
      </c>
      <c r="J42" s="39">
        <v>14.1</v>
      </c>
    </row>
    <row r="43" spans="2:12" x14ac:dyDescent="0.2">
      <c r="B43" s="38" t="s">
        <v>162</v>
      </c>
      <c r="F43" s="39">
        <v>14.45</v>
      </c>
      <c r="G43" s="39">
        <v>14.5</v>
      </c>
      <c r="H43" s="39">
        <v>14.55</v>
      </c>
      <c r="I43" s="39">
        <v>14.55</v>
      </c>
      <c r="J43" s="39">
        <v>14.55</v>
      </c>
      <c r="L43" s="9" t="s">
        <v>163</v>
      </c>
    </row>
    <row r="44" spans="2:12" x14ac:dyDescent="0.2">
      <c r="B44" s="38" t="s">
        <v>164</v>
      </c>
      <c r="F44" s="41">
        <v>11000</v>
      </c>
      <c r="G44" s="41">
        <v>11500</v>
      </c>
      <c r="H44" s="41">
        <v>12000</v>
      </c>
      <c r="I44" s="41">
        <v>12500</v>
      </c>
      <c r="J44" s="41">
        <v>13000</v>
      </c>
    </row>
    <row r="45" spans="2:12" x14ac:dyDescent="0.2">
      <c r="B45" s="38" t="s">
        <v>165</v>
      </c>
      <c r="F45" s="41">
        <v>20000</v>
      </c>
      <c r="G45" s="41">
        <v>21000</v>
      </c>
      <c r="H45" s="41">
        <v>22000</v>
      </c>
      <c r="I45" s="41">
        <v>23000</v>
      </c>
      <c r="J45" s="41">
        <v>24000</v>
      </c>
    </row>
    <row r="46" spans="2:12" x14ac:dyDescent="0.2">
      <c r="B46" s="38" t="s">
        <v>166</v>
      </c>
      <c r="F46" s="41">
        <v>17500</v>
      </c>
      <c r="G46" s="41">
        <v>18000</v>
      </c>
      <c r="H46" s="41">
        <v>18500</v>
      </c>
      <c r="I46" s="41">
        <v>19000</v>
      </c>
      <c r="J46" s="41">
        <v>19500</v>
      </c>
    </row>
    <row r="47" spans="2:12" x14ac:dyDescent="0.2">
      <c r="B47" s="38" t="s">
        <v>167</v>
      </c>
      <c r="F47" s="41">
        <v>185000</v>
      </c>
      <c r="G47" s="41">
        <v>185000</v>
      </c>
      <c r="H47" s="41">
        <v>185000</v>
      </c>
      <c r="I47" s="41">
        <v>185000</v>
      </c>
      <c r="J47" s="41">
        <v>185000</v>
      </c>
      <c r="L47" s="9" t="s">
        <v>168</v>
      </c>
    </row>
    <row r="48" spans="2:12" x14ac:dyDescent="0.2">
      <c r="B48" s="38" t="s">
        <v>169</v>
      </c>
      <c r="F48" s="43">
        <v>150</v>
      </c>
      <c r="G48" s="43">
        <v>161</v>
      </c>
      <c r="H48" s="43">
        <v>174</v>
      </c>
      <c r="I48" s="43">
        <v>187</v>
      </c>
      <c r="J48" s="43">
        <v>200</v>
      </c>
    </row>
    <row r="49" spans="2:12" x14ac:dyDescent="0.2">
      <c r="B49" s="38" t="s">
        <v>170</v>
      </c>
      <c r="F49" s="41">
        <v>150</v>
      </c>
      <c r="G49" s="41">
        <v>150</v>
      </c>
      <c r="H49" s="41">
        <v>150</v>
      </c>
      <c r="I49" s="41">
        <v>150</v>
      </c>
      <c r="J49" s="41">
        <v>150</v>
      </c>
    </row>
    <row r="50" spans="2:12" x14ac:dyDescent="0.2">
      <c r="B50" s="38" t="s">
        <v>171</v>
      </c>
      <c r="F50" s="41">
        <v>696500</v>
      </c>
      <c r="G50" s="41">
        <v>696500</v>
      </c>
      <c r="H50" s="41">
        <v>696500</v>
      </c>
      <c r="I50" s="41">
        <v>550000</v>
      </c>
      <c r="J50" s="41">
        <v>550000</v>
      </c>
      <c r="L50" s="9" t="s">
        <v>172</v>
      </c>
    </row>
    <row r="51" spans="2:12" x14ac:dyDescent="0.2">
      <c r="B51" s="38" t="s">
        <v>173</v>
      </c>
      <c r="F51" s="41">
        <v>290000</v>
      </c>
      <c r="G51" s="41">
        <v>305000</v>
      </c>
      <c r="H51" s="41">
        <v>322000</v>
      </c>
      <c r="I51" s="41">
        <v>336000</v>
      </c>
      <c r="J51" s="41">
        <v>351000</v>
      </c>
      <c r="L51" s="9" t="s">
        <v>485</v>
      </c>
    </row>
    <row r="52" spans="2:12" x14ac:dyDescent="0.2">
      <c r="B52" s="14" t="s">
        <v>174</v>
      </c>
      <c r="C52" s="41">
        <v>70000</v>
      </c>
    </row>
    <row r="53" spans="2:12" ht="6" customHeight="1" x14ac:dyDescent="0.2"/>
    <row r="54" spans="2:12" ht="15.5" customHeight="1" x14ac:dyDescent="0.2">
      <c r="B54" s="3" t="s">
        <v>175</v>
      </c>
      <c r="C54" s="3"/>
      <c r="D54" s="3"/>
      <c r="E54" s="3"/>
      <c r="F54" s="3"/>
      <c r="G54" s="3"/>
      <c r="H54" s="3"/>
      <c r="I54" s="3"/>
      <c r="J54" s="3"/>
    </row>
    <row r="55" spans="2:12" x14ac:dyDescent="0.2">
      <c r="B55" s="14" t="s">
        <v>176</v>
      </c>
      <c r="C55" s="39">
        <v>4.79</v>
      </c>
      <c r="L55" s="2" t="s">
        <v>177</v>
      </c>
    </row>
    <row r="56" spans="2:12" x14ac:dyDescent="0.2">
      <c r="B56" s="14" t="s">
        <v>178</v>
      </c>
      <c r="C56" s="39">
        <v>5</v>
      </c>
    </row>
    <row r="57" spans="2:12" x14ac:dyDescent="0.2">
      <c r="B57" s="14" t="s">
        <v>179</v>
      </c>
      <c r="C57" s="40">
        <v>1.41</v>
      </c>
      <c r="L57" s="2" t="s">
        <v>180</v>
      </c>
    </row>
    <row r="58" spans="2:12" x14ac:dyDescent="0.2">
      <c r="B58" s="14" t="s">
        <v>181</v>
      </c>
      <c r="C58" s="39">
        <v>6.25</v>
      </c>
      <c r="L58" s="2" t="s">
        <v>182</v>
      </c>
    </row>
    <row r="59" spans="2:12" x14ac:dyDescent="0.2">
      <c r="B59" s="14" t="s">
        <v>183</v>
      </c>
      <c r="C59" s="39">
        <v>2.5</v>
      </c>
    </row>
    <row r="60" spans="2:12" x14ac:dyDescent="0.2">
      <c r="B60" s="14" t="s">
        <v>184</v>
      </c>
      <c r="C60" s="25">
        <v>148.26</v>
      </c>
      <c r="L60" s="2" t="s">
        <v>185</v>
      </c>
    </row>
    <row r="61" spans="2:12" x14ac:dyDescent="0.2">
      <c r="B61" s="14" t="s">
        <v>186</v>
      </c>
      <c r="C61" s="41">
        <v>25276</v>
      </c>
      <c r="L61" s="2" t="s">
        <v>187</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4506B"/>
  </sheetPr>
  <dimension ref="B2:L78"/>
  <sheetViews>
    <sheetView showGridLines="0" workbookViewId="0">
      <pane xSplit="2" ySplit="5" topLeftCell="C56" activePane="bottomRight" state="frozen"/>
      <selection pane="topRight"/>
      <selection pane="bottomLeft"/>
      <selection pane="bottomRight" activeCell="B65" sqref="B65"/>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2" ht="21" customHeight="1" x14ac:dyDescent="0.25">
      <c r="B2" s="1" t="s">
        <v>188</v>
      </c>
    </row>
    <row r="3" spans="2:12" x14ac:dyDescent="0.2">
      <c r="B3" s="2" t="s">
        <v>189</v>
      </c>
    </row>
    <row r="5" spans="2:12" ht="18" customHeight="1" x14ac:dyDescent="0.2">
      <c r="B5" s="36" t="s">
        <v>190</v>
      </c>
      <c r="C5" s="37" t="s">
        <v>118</v>
      </c>
      <c r="D5" s="37" t="s">
        <v>101</v>
      </c>
      <c r="E5" s="37" t="s">
        <v>102</v>
      </c>
      <c r="F5" s="37" t="s">
        <v>103</v>
      </c>
      <c r="G5" s="37" t="s">
        <v>104</v>
      </c>
      <c r="H5" s="37" t="s">
        <v>105</v>
      </c>
      <c r="I5" s="37" t="s">
        <v>119</v>
      </c>
      <c r="J5" s="37" t="s">
        <v>120</v>
      </c>
    </row>
    <row r="6" spans="2:12" ht="6" customHeight="1" x14ac:dyDescent="0.2"/>
    <row r="7" spans="2:12" ht="15.5" customHeight="1" x14ac:dyDescent="0.2">
      <c r="B7" s="3" t="s">
        <v>191</v>
      </c>
      <c r="C7" s="3"/>
      <c r="D7" s="3"/>
      <c r="E7" s="3"/>
      <c r="F7" s="3"/>
      <c r="G7" s="3"/>
      <c r="H7" s="3"/>
      <c r="I7" s="3"/>
      <c r="J7" s="3"/>
    </row>
    <row r="8" spans="2:12" x14ac:dyDescent="0.2">
      <c r="B8" s="38" t="s">
        <v>192</v>
      </c>
      <c r="C8" s="41">
        <v>3169</v>
      </c>
      <c r="D8" s="41">
        <v>3873</v>
      </c>
      <c r="E8" s="41">
        <v>3716</v>
      </c>
      <c r="L8" s="9" t="s">
        <v>193</v>
      </c>
    </row>
    <row r="9" spans="2:12" x14ac:dyDescent="0.2">
      <c r="B9" s="38" t="s">
        <v>194</v>
      </c>
      <c r="C9" s="41">
        <v>4943</v>
      </c>
      <c r="D9" s="41">
        <v>5182</v>
      </c>
      <c r="E9" s="41">
        <v>5205</v>
      </c>
    </row>
    <row r="10" spans="2:12" x14ac:dyDescent="0.2">
      <c r="B10" s="44" t="s">
        <v>195</v>
      </c>
      <c r="C10" s="45">
        <f>C8+C9</f>
        <v>8112</v>
      </c>
      <c r="D10" s="45">
        <f>D8+D9</f>
        <v>9055</v>
      </c>
      <c r="E10" s="45">
        <f>E8+E9</f>
        <v>8921</v>
      </c>
      <c r="L10" s="9" t="s">
        <v>196</v>
      </c>
    </row>
    <row r="11" spans="2:12" x14ac:dyDescent="0.2">
      <c r="B11" s="38" t="s">
        <v>197</v>
      </c>
      <c r="C11" s="41">
        <v>3361</v>
      </c>
      <c r="D11" s="41">
        <v>3761</v>
      </c>
      <c r="E11" s="41">
        <v>3416</v>
      </c>
    </row>
    <row r="12" spans="2:12" x14ac:dyDescent="0.2">
      <c r="B12" s="38" t="s">
        <v>198</v>
      </c>
      <c r="C12" s="41">
        <v>4616</v>
      </c>
      <c r="D12" s="41">
        <v>4823</v>
      </c>
      <c r="E12" s="41">
        <v>4783</v>
      </c>
    </row>
    <row r="13" spans="2:12" x14ac:dyDescent="0.2">
      <c r="B13" s="38" t="s">
        <v>199</v>
      </c>
      <c r="C13" s="41">
        <v>3002</v>
      </c>
      <c r="D13" s="41">
        <v>2531</v>
      </c>
      <c r="E13" s="41">
        <v>1809</v>
      </c>
      <c r="L13" s="9" t="s">
        <v>200</v>
      </c>
    </row>
    <row r="14" spans="2:12" x14ac:dyDescent="0.2">
      <c r="B14" s="38" t="s">
        <v>201</v>
      </c>
      <c r="D14" s="41">
        <v>220</v>
      </c>
      <c r="E14" s="41">
        <v>232</v>
      </c>
    </row>
    <row r="15" spans="2:12" ht="6" customHeight="1" x14ac:dyDescent="0.2"/>
    <row r="16" spans="2:12" ht="15.5" customHeight="1" x14ac:dyDescent="0.2">
      <c r="B16" s="3" t="s">
        <v>202</v>
      </c>
      <c r="C16" s="3"/>
      <c r="D16" s="3"/>
      <c r="E16" s="3"/>
      <c r="F16" s="3"/>
      <c r="G16" s="3"/>
      <c r="H16" s="3"/>
      <c r="I16" s="3"/>
      <c r="J16" s="3"/>
    </row>
    <row r="17" spans="2:12" ht="26" x14ac:dyDescent="0.2">
      <c r="B17" s="38" t="s">
        <v>203</v>
      </c>
      <c r="C17" s="41">
        <v>1523943</v>
      </c>
      <c r="D17" s="41">
        <v>1900013</v>
      </c>
      <c r="E17" s="41">
        <v>1890457</v>
      </c>
      <c r="L17" s="9" t="s">
        <v>204</v>
      </c>
    </row>
    <row r="18" spans="2:12" x14ac:dyDescent="0.2">
      <c r="B18" s="38" t="s">
        <v>205</v>
      </c>
      <c r="C18" s="41">
        <v>2415730</v>
      </c>
      <c r="D18" s="41">
        <v>2488451</v>
      </c>
      <c r="E18" s="41">
        <v>2401861</v>
      </c>
    </row>
    <row r="19" spans="2:12" x14ac:dyDescent="0.2">
      <c r="B19" s="38" t="s">
        <v>206</v>
      </c>
      <c r="C19" s="41">
        <v>93829</v>
      </c>
      <c r="D19" s="41">
        <v>116206</v>
      </c>
      <c r="E19" s="41">
        <v>125463</v>
      </c>
    </row>
    <row r="20" spans="2:12" x14ac:dyDescent="0.2">
      <c r="B20" s="44" t="s">
        <v>207</v>
      </c>
      <c r="C20" s="45">
        <f>SUM(C17:C19)</f>
        <v>4033502</v>
      </c>
      <c r="D20" s="45">
        <f>SUM(D17:D19)</f>
        <v>4504670</v>
      </c>
      <c r="E20" s="45">
        <f>SUM(E17:E19)</f>
        <v>4417781</v>
      </c>
      <c r="L20" s="9" t="s">
        <v>208</v>
      </c>
    </row>
    <row r="21" spans="2:12" ht="6" customHeight="1" x14ac:dyDescent="0.2"/>
    <row r="22" spans="2:12" ht="15.5" customHeight="1" x14ac:dyDescent="0.2">
      <c r="B22" s="3" t="s">
        <v>209</v>
      </c>
      <c r="C22" s="3"/>
      <c r="D22" s="3"/>
      <c r="E22" s="3"/>
      <c r="F22" s="3"/>
      <c r="G22" s="3"/>
      <c r="H22" s="3"/>
      <c r="I22" s="3"/>
      <c r="J22" s="3"/>
    </row>
    <row r="23" spans="2:12" x14ac:dyDescent="0.2">
      <c r="B23" s="38" t="s">
        <v>210</v>
      </c>
      <c r="C23" s="41">
        <v>1228949</v>
      </c>
      <c r="D23" s="41">
        <v>1480326</v>
      </c>
      <c r="E23" s="41">
        <v>1475438</v>
      </c>
    </row>
    <row r="24" spans="2:12" x14ac:dyDescent="0.2">
      <c r="B24" s="38" t="s">
        <v>211</v>
      </c>
      <c r="C24" s="41">
        <v>1785624</v>
      </c>
      <c r="D24" s="41">
        <v>1825455</v>
      </c>
      <c r="E24" s="41">
        <v>1925144</v>
      </c>
    </row>
    <row r="25" spans="2:12" x14ac:dyDescent="0.2">
      <c r="B25" s="46" t="s">
        <v>212</v>
      </c>
      <c r="C25" s="41">
        <v>0</v>
      </c>
      <c r="D25" s="41">
        <v>0</v>
      </c>
      <c r="E25" s="41">
        <v>6700</v>
      </c>
      <c r="L25" s="9" t="s">
        <v>213</v>
      </c>
    </row>
    <row r="26" spans="2:12" x14ac:dyDescent="0.2">
      <c r="B26" s="46" t="s">
        <v>214</v>
      </c>
      <c r="C26" s="41">
        <v>0</v>
      </c>
      <c r="D26" s="41">
        <v>0</v>
      </c>
      <c r="E26" s="41">
        <v>41000</v>
      </c>
    </row>
    <row r="27" spans="2:12" ht="6" customHeight="1" x14ac:dyDescent="0.2"/>
    <row r="28" spans="2:12" ht="15.5" customHeight="1" x14ac:dyDescent="0.2">
      <c r="B28" s="3" t="s">
        <v>215</v>
      </c>
      <c r="C28" s="3"/>
      <c r="D28" s="3"/>
      <c r="E28" s="3"/>
      <c r="F28" s="3"/>
      <c r="G28" s="3"/>
      <c r="H28" s="3"/>
      <c r="I28" s="3"/>
      <c r="J28" s="3"/>
    </row>
    <row r="29" spans="2:12" x14ac:dyDescent="0.2">
      <c r="B29" s="38" t="s">
        <v>203</v>
      </c>
      <c r="C29" s="41">
        <v>176320</v>
      </c>
      <c r="D29" s="41">
        <v>281099</v>
      </c>
      <c r="E29" s="41">
        <v>278056</v>
      </c>
    </row>
    <row r="30" spans="2:12" x14ac:dyDescent="0.2">
      <c r="B30" s="38" t="s">
        <v>205</v>
      </c>
      <c r="C30" s="41">
        <v>440168</v>
      </c>
      <c r="D30" s="41">
        <v>450598</v>
      </c>
      <c r="E30" s="41">
        <v>249969</v>
      </c>
    </row>
    <row r="31" spans="2:12" x14ac:dyDescent="0.2">
      <c r="B31" s="38" t="s">
        <v>206</v>
      </c>
      <c r="C31" s="41">
        <v>48714</v>
      </c>
      <c r="D31" s="41">
        <v>63380</v>
      </c>
      <c r="E31" s="41">
        <v>68160</v>
      </c>
    </row>
    <row r="32" spans="2:12" x14ac:dyDescent="0.2">
      <c r="B32" s="38" t="s">
        <v>216</v>
      </c>
      <c r="C32" s="13">
        <f>Historicals!C33-C29-C30-C31</f>
        <v>-77980</v>
      </c>
      <c r="D32" s="13">
        <f>Historicals!D33-D29-D30-D31</f>
        <v>-88983</v>
      </c>
      <c r="E32" s="13">
        <f>Historicals!E33-E29-E30-E31</f>
        <v>-89632</v>
      </c>
    </row>
    <row r="33" spans="2:10" x14ac:dyDescent="0.2">
      <c r="B33" s="44" t="s">
        <v>217</v>
      </c>
      <c r="C33" s="47">
        <v>587222</v>
      </c>
      <c r="D33" s="47">
        <v>706094</v>
      </c>
      <c r="E33" s="47">
        <v>506553</v>
      </c>
    </row>
    <row r="34" spans="2:10" ht="6" customHeight="1" x14ac:dyDescent="0.2"/>
    <row r="35" spans="2:10" ht="15.5" customHeight="1" x14ac:dyDescent="0.2">
      <c r="B35" s="3" t="s">
        <v>218</v>
      </c>
      <c r="C35" s="3"/>
      <c r="D35" s="3"/>
      <c r="E35" s="3"/>
      <c r="F35" s="3"/>
      <c r="G35" s="3"/>
      <c r="H35" s="3"/>
      <c r="I35" s="3"/>
      <c r="J35" s="3"/>
    </row>
    <row r="36" spans="2:10" x14ac:dyDescent="0.2">
      <c r="B36" s="38" t="s">
        <v>219</v>
      </c>
      <c r="C36" s="41">
        <v>81847</v>
      </c>
      <c r="D36" s="41">
        <v>95680</v>
      </c>
      <c r="E36" s="41">
        <v>95860</v>
      </c>
    </row>
    <row r="37" spans="2:10" x14ac:dyDescent="0.2">
      <c r="B37" s="38" t="s">
        <v>220</v>
      </c>
      <c r="C37" s="41">
        <v>124860</v>
      </c>
      <c r="D37" s="41">
        <v>136198</v>
      </c>
      <c r="E37" s="41">
        <v>149457</v>
      </c>
    </row>
    <row r="38" spans="2:10" x14ac:dyDescent="0.2">
      <c r="B38" s="38" t="s">
        <v>221</v>
      </c>
      <c r="C38" s="41">
        <v>36827</v>
      </c>
      <c r="D38" s="41">
        <v>42908</v>
      </c>
      <c r="E38" s="41">
        <v>41103</v>
      </c>
    </row>
    <row r="39" spans="2:10" x14ac:dyDescent="0.2">
      <c r="B39" s="38" t="s">
        <v>222</v>
      </c>
      <c r="C39" s="41">
        <v>65078</v>
      </c>
      <c r="D39" s="41">
        <v>76200</v>
      </c>
      <c r="E39" s="41">
        <v>77291</v>
      </c>
    </row>
    <row r="40" spans="2:10" x14ac:dyDescent="0.2">
      <c r="B40" s="38" t="s">
        <v>223</v>
      </c>
      <c r="C40" s="41">
        <v>45115</v>
      </c>
      <c r="D40" s="41">
        <v>52826</v>
      </c>
      <c r="E40" s="41">
        <v>57303</v>
      </c>
    </row>
    <row r="41" spans="2:10" ht="6" customHeight="1" x14ac:dyDescent="0.2"/>
    <row r="42" spans="2:10" ht="15.5" customHeight="1" x14ac:dyDescent="0.2">
      <c r="B42" s="3" t="s">
        <v>224</v>
      </c>
      <c r="C42" s="3"/>
      <c r="D42" s="3"/>
      <c r="E42" s="3"/>
      <c r="F42" s="3"/>
      <c r="G42" s="3"/>
      <c r="H42" s="3"/>
      <c r="I42" s="3"/>
      <c r="J42" s="3"/>
    </row>
    <row r="43" spans="2:10" x14ac:dyDescent="0.2">
      <c r="B43" s="38" t="s">
        <v>225</v>
      </c>
      <c r="C43" s="41">
        <v>3014573</v>
      </c>
      <c r="D43" s="41">
        <v>3305781</v>
      </c>
      <c r="E43" s="41">
        <v>3400582</v>
      </c>
    </row>
    <row r="44" spans="2:10" x14ac:dyDescent="0.2">
      <c r="B44" s="38" t="s">
        <v>226</v>
      </c>
      <c r="C44" s="41">
        <v>607277</v>
      </c>
      <c r="D44" s="41">
        <v>733608</v>
      </c>
      <c r="E44" s="41">
        <v>526588</v>
      </c>
    </row>
    <row r="45" spans="2:10" x14ac:dyDescent="0.2">
      <c r="B45" s="38" t="s">
        <v>227</v>
      </c>
      <c r="C45" s="41">
        <v>141912</v>
      </c>
      <c r="D45" s="41">
        <v>169883</v>
      </c>
      <c r="E45" s="41">
        <v>123647</v>
      </c>
    </row>
    <row r="46" spans="2:10" x14ac:dyDescent="0.2">
      <c r="B46" s="38" t="s">
        <v>228</v>
      </c>
      <c r="C46" s="41">
        <v>465365</v>
      </c>
      <c r="D46" s="41">
        <v>563725</v>
      </c>
      <c r="E46" s="41">
        <v>402941</v>
      </c>
    </row>
    <row r="47" spans="2:10" x14ac:dyDescent="0.2">
      <c r="B47" s="38" t="s">
        <v>112</v>
      </c>
      <c r="C47" s="40">
        <v>16.21</v>
      </c>
      <c r="D47" s="40">
        <v>19.71</v>
      </c>
      <c r="E47" s="40">
        <v>14.74</v>
      </c>
    </row>
    <row r="48" spans="2:10" x14ac:dyDescent="0.2">
      <c r="B48" s="38" t="s">
        <v>229</v>
      </c>
      <c r="C48" s="41">
        <v>28716</v>
      </c>
      <c r="D48" s="41">
        <v>28600</v>
      </c>
      <c r="E48" s="41">
        <v>27338</v>
      </c>
    </row>
    <row r="49" spans="2:10" x14ac:dyDescent="0.2">
      <c r="B49" s="38" t="s">
        <v>230</v>
      </c>
      <c r="C49" s="41">
        <v>27600</v>
      </c>
      <c r="D49" s="41">
        <v>27060</v>
      </c>
      <c r="E49" s="41">
        <v>25763</v>
      </c>
    </row>
    <row r="50" spans="2:10" ht="6" customHeight="1" x14ac:dyDescent="0.2"/>
    <row r="51" spans="2:10" ht="15.5" customHeight="1" x14ac:dyDescent="0.2">
      <c r="B51" s="3" t="s">
        <v>231</v>
      </c>
      <c r="C51" s="3"/>
      <c r="D51" s="3"/>
      <c r="E51" s="3"/>
      <c r="F51" s="3"/>
      <c r="G51" s="3"/>
      <c r="H51" s="3"/>
      <c r="I51" s="3"/>
      <c r="J51" s="3"/>
    </row>
    <row r="52" spans="2:10" x14ac:dyDescent="0.2">
      <c r="B52" s="38" t="s">
        <v>232</v>
      </c>
      <c r="C52" s="41">
        <v>733000</v>
      </c>
      <c r="D52" s="41">
        <v>821600</v>
      </c>
      <c r="E52" s="41">
        <v>689200</v>
      </c>
    </row>
    <row r="53" spans="2:10" x14ac:dyDescent="0.2">
      <c r="B53" s="38" t="s">
        <v>233</v>
      </c>
      <c r="C53" s="41">
        <v>2797151</v>
      </c>
      <c r="D53" s="41">
        <v>3091862</v>
      </c>
      <c r="E53" s="41">
        <v>3383941</v>
      </c>
    </row>
    <row r="54" spans="2:10" x14ac:dyDescent="0.2">
      <c r="B54" s="38" t="s">
        <v>234</v>
      </c>
      <c r="C54" s="41">
        <v>4022440</v>
      </c>
      <c r="D54" s="41">
        <v>4549796</v>
      </c>
      <c r="E54" s="41">
        <v>4777125</v>
      </c>
    </row>
    <row r="55" spans="2:10" x14ac:dyDescent="0.2">
      <c r="B55" s="38" t="s">
        <v>235</v>
      </c>
      <c r="C55" s="41">
        <v>693744</v>
      </c>
      <c r="D55" s="41">
        <v>695022</v>
      </c>
      <c r="E55" s="41">
        <v>696300</v>
      </c>
    </row>
    <row r="56" spans="2:10" x14ac:dyDescent="0.2">
      <c r="B56" s="38" t="s">
        <v>236</v>
      </c>
      <c r="C56" s="41">
        <v>165844</v>
      </c>
      <c r="D56" s="41">
        <v>286159</v>
      </c>
      <c r="E56" s="41">
        <v>276856</v>
      </c>
    </row>
    <row r="57" spans="2:10" x14ac:dyDescent="0.2">
      <c r="B57" s="38" t="s">
        <v>237</v>
      </c>
      <c r="C57" s="41">
        <v>2516939</v>
      </c>
      <c r="D57" s="41">
        <v>2939677</v>
      </c>
      <c r="E57" s="41">
        <v>3166190</v>
      </c>
    </row>
    <row r="58" spans="2:10" x14ac:dyDescent="0.2">
      <c r="B58" s="38" t="s">
        <v>238</v>
      </c>
      <c r="C58" s="41">
        <v>552131</v>
      </c>
      <c r="D58" s="41">
        <v>179736</v>
      </c>
      <c r="E58" s="41">
        <v>137349</v>
      </c>
    </row>
    <row r="59" spans="2:10" x14ac:dyDescent="0.2">
      <c r="B59" s="38" t="s">
        <v>239</v>
      </c>
      <c r="C59" s="41">
        <v>15791</v>
      </c>
      <c r="D59" s="41">
        <v>17386</v>
      </c>
      <c r="E59" s="41">
        <v>18898</v>
      </c>
    </row>
    <row r="60" spans="2:10" x14ac:dyDescent="0.2">
      <c r="B60" s="38" t="s">
        <v>240</v>
      </c>
      <c r="C60" s="41">
        <v>11370</v>
      </c>
      <c r="D60" s="41">
        <v>14564</v>
      </c>
      <c r="E60" s="41">
        <v>16998</v>
      </c>
    </row>
    <row r="61" spans="2:10" x14ac:dyDescent="0.2">
      <c r="B61" s="38" t="s">
        <v>241</v>
      </c>
      <c r="C61" s="41">
        <v>5769</v>
      </c>
      <c r="D61" s="41">
        <v>8417</v>
      </c>
      <c r="E61" s="41">
        <v>9609</v>
      </c>
    </row>
    <row r="62" spans="2:10" x14ac:dyDescent="0.2">
      <c r="B62" s="38" t="s">
        <v>242</v>
      </c>
      <c r="C62" s="41">
        <v>65344</v>
      </c>
      <c r="D62" s="41">
        <v>176953</v>
      </c>
      <c r="E62" s="41">
        <v>202033</v>
      </c>
    </row>
    <row r="63" spans="2:10" ht="6" customHeight="1" x14ac:dyDescent="0.2"/>
    <row r="64" spans="2:10" ht="15.5" customHeight="1" x14ac:dyDescent="0.2">
      <c r="B64" s="3" t="s">
        <v>487</v>
      </c>
      <c r="C64" s="3"/>
      <c r="D64" s="3"/>
      <c r="E64" s="3"/>
      <c r="F64" s="3"/>
      <c r="G64" s="3"/>
      <c r="H64" s="3"/>
      <c r="I64" s="3"/>
      <c r="J64" s="3"/>
    </row>
    <row r="65" spans="2:12" x14ac:dyDescent="0.2">
      <c r="B65" s="38" t="s">
        <v>243</v>
      </c>
      <c r="C65" s="48">
        <f t="shared" ref="C65:E66" si="0">C17/C8</f>
        <v>480.89081729252132</v>
      </c>
      <c r="D65" s="48">
        <f t="shared" si="0"/>
        <v>490.57913761941649</v>
      </c>
      <c r="E65" s="48">
        <f t="shared" si="0"/>
        <v>508.73439181916041</v>
      </c>
      <c r="L65" s="9" t="s">
        <v>244</v>
      </c>
    </row>
    <row r="66" spans="2:12" x14ac:dyDescent="0.2">
      <c r="B66" s="38" t="s">
        <v>245</v>
      </c>
      <c r="C66" s="48">
        <f t="shared" si="0"/>
        <v>488.71737811045921</v>
      </c>
      <c r="D66" s="48">
        <f t="shared" si="0"/>
        <v>480.2105364724045</v>
      </c>
      <c r="E66" s="48">
        <f t="shared" si="0"/>
        <v>461.45264169068201</v>
      </c>
      <c r="L66" s="9" t="s">
        <v>246</v>
      </c>
    </row>
    <row r="67" spans="2:12" x14ac:dyDescent="0.2">
      <c r="B67" s="38" t="s">
        <v>247</v>
      </c>
      <c r="C67" s="48">
        <f t="shared" ref="C67:E68" si="1">(C23-C25)/C8</f>
        <v>387.80340801514672</v>
      </c>
      <c r="D67" s="48">
        <f t="shared" si="1"/>
        <v>382.21688613477926</v>
      </c>
      <c r="E67" s="48">
        <f t="shared" si="1"/>
        <v>395.2470398277718</v>
      </c>
    </row>
    <row r="68" spans="2:12" x14ac:dyDescent="0.2">
      <c r="B68" s="38" t="s">
        <v>248</v>
      </c>
      <c r="C68" s="48">
        <f t="shared" si="1"/>
        <v>361.24296985636255</v>
      </c>
      <c r="D68" s="48">
        <f t="shared" si="1"/>
        <v>352.26842917792357</v>
      </c>
      <c r="E68" s="48">
        <f t="shared" si="1"/>
        <v>361.98731988472622</v>
      </c>
      <c r="L68" s="9" t="s">
        <v>249</v>
      </c>
    </row>
    <row r="69" spans="2:12" x14ac:dyDescent="0.2">
      <c r="B69" s="38" t="s">
        <v>250</v>
      </c>
      <c r="C69" s="16">
        <f t="shared" ref="C69:E70" si="2">1-C23/C17</f>
        <v>0.19357285672758107</v>
      </c>
      <c r="D69" s="16">
        <f t="shared" si="2"/>
        <v>0.22088638340895561</v>
      </c>
      <c r="E69" s="16">
        <f t="shared" si="2"/>
        <v>0.2195336894729687</v>
      </c>
    </row>
    <row r="70" spans="2:12" x14ac:dyDescent="0.2">
      <c r="B70" s="38" t="s">
        <v>251</v>
      </c>
      <c r="C70" s="16">
        <f t="shared" si="2"/>
        <v>0.26083461313971346</v>
      </c>
      <c r="D70" s="16">
        <f t="shared" si="2"/>
        <v>0.26642919631529816</v>
      </c>
      <c r="E70" s="16">
        <f t="shared" si="2"/>
        <v>0.19847818004455708</v>
      </c>
      <c r="L70" s="9" t="s">
        <v>252</v>
      </c>
    </row>
    <row r="71" spans="2:12" x14ac:dyDescent="0.2">
      <c r="B71" s="38" t="s">
        <v>253</v>
      </c>
      <c r="C71" s="16">
        <f>1-C43/(C17+C18)</f>
        <v>0.23481644288751879</v>
      </c>
      <c r="D71" s="16">
        <f>1-D43/(D17+D18)</f>
        <v>0.24671114996044174</v>
      </c>
      <c r="E71" s="16">
        <f>1-E43/(E17+E18)</f>
        <v>0.20775161579361079</v>
      </c>
    </row>
    <row r="72" spans="2:12" ht="39" x14ac:dyDescent="0.2">
      <c r="B72" s="49" t="s">
        <v>254</v>
      </c>
      <c r="C72" s="34">
        <f>1-C43/C20</f>
        <v>0.25261646083229905</v>
      </c>
      <c r="D72" s="34">
        <f>1-D43/D20</f>
        <v>0.26614357988487503</v>
      </c>
      <c r="E72" s="34">
        <f>1-E43/E20</f>
        <v>0.23025111475648063</v>
      </c>
      <c r="L72" s="9" t="s">
        <v>255</v>
      </c>
    </row>
    <row r="73" spans="2:12" x14ac:dyDescent="0.2">
      <c r="B73" s="38" t="s">
        <v>256</v>
      </c>
      <c r="C73" s="16">
        <f t="shared" ref="C73:E74" si="3">C29/C17</f>
        <v>0.11569986541491381</v>
      </c>
      <c r="D73" s="16">
        <f t="shared" si="3"/>
        <v>0.14794582984432211</v>
      </c>
      <c r="E73" s="16">
        <f t="shared" si="3"/>
        <v>0.14708401196112897</v>
      </c>
    </row>
    <row r="74" spans="2:12" x14ac:dyDescent="0.2">
      <c r="B74" s="49" t="s">
        <v>257</v>
      </c>
      <c r="C74" s="34">
        <f t="shared" si="3"/>
        <v>0.18220910449429364</v>
      </c>
      <c r="D74" s="34">
        <f t="shared" si="3"/>
        <v>0.18107569729120646</v>
      </c>
      <c r="E74" s="34">
        <f t="shared" si="3"/>
        <v>0.10407305002246175</v>
      </c>
      <c r="L74" s="9" t="s">
        <v>258</v>
      </c>
    </row>
    <row r="75" spans="2:12" x14ac:dyDescent="0.2">
      <c r="B75" s="38" t="s">
        <v>259</v>
      </c>
      <c r="C75" s="16">
        <f>C9/C10</f>
        <v>0.60934418145956604</v>
      </c>
      <c r="D75" s="16">
        <f>D9/D10</f>
        <v>0.57228050800662622</v>
      </c>
      <c r="E75" s="16">
        <f>E9/E10</f>
        <v>0.5834547696446587</v>
      </c>
    </row>
    <row r="76" spans="2:12" x14ac:dyDescent="0.2">
      <c r="B76" s="49" t="s">
        <v>260</v>
      </c>
      <c r="C76" s="34">
        <f>C30/(C29+C30)</f>
        <v>0.71399281089007405</v>
      </c>
      <c r="D76" s="34">
        <f>D30/(D29+D30)</f>
        <v>0.615825949812559</v>
      </c>
      <c r="E76" s="34">
        <f>E30/(E29+E30)</f>
        <v>0.47340372141470577</v>
      </c>
      <c r="L76" s="9" t="s">
        <v>261</v>
      </c>
    </row>
    <row r="77" spans="2:12" x14ac:dyDescent="0.2">
      <c r="B77" s="38" t="s">
        <v>114</v>
      </c>
      <c r="C77" s="16">
        <f>C46/C57</f>
        <v>0.18489323738080263</v>
      </c>
      <c r="D77" s="16">
        <f>D46/D57</f>
        <v>0.1917642652577137</v>
      </c>
      <c r="E77" s="16">
        <f>E46/E57</f>
        <v>0.12726368284910256</v>
      </c>
      <c r="L77" s="9" t="s">
        <v>262</v>
      </c>
    </row>
    <row r="78" spans="2:12" x14ac:dyDescent="0.2">
      <c r="B78" s="38" t="s">
        <v>113</v>
      </c>
      <c r="C78" s="50">
        <f>C57/C49</f>
        <v>91.193442028985501</v>
      </c>
      <c r="D78" s="50">
        <f>D57/D49</f>
        <v>108.63551367331856</v>
      </c>
      <c r="E78" s="50">
        <f>E57/E49</f>
        <v>122.89678997011218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A6B8A"/>
  </sheetPr>
  <dimension ref="B2:L43"/>
  <sheetViews>
    <sheetView showGridLines="0" workbookViewId="0">
      <pane xSplit="2" ySplit="5" topLeftCell="C10" activePane="bottomRight" state="frozen"/>
      <selection pane="topRight"/>
      <selection pane="bottomLeft"/>
      <selection pane="bottomRight" activeCell="B42" sqref="B42"/>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2" ht="21" customHeight="1" x14ac:dyDescent="0.25">
      <c r="B2" s="1" t="s">
        <v>263</v>
      </c>
    </row>
    <row r="3" spans="2:12" x14ac:dyDescent="0.2">
      <c r="B3" s="2" t="s">
        <v>264</v>
      </c>
    </row>
    <row r="5" spans="2:12" ht="18" customHeight="1" x14ac:dyDescent="0.2">
      <c r="B5" s="36" t="s">
        <v>190</v>
      </c>
      <c r="C5" s="37" t="s">
        <v>118</v>
      </c>
      <c r="D5" s="37" t="s">
        <v>101</v>
      </c>
      <c r="E5" s="37" t="s">
        <v>102</v>
      </c>
      <c r="F5" s="37" t="s">
        <v>103</v>
      </c>
      <c r="G5" s="37" t="s">
        <v>104</v>
      </c>
      <c r="H5" s="37" t="s">
        <v>105</v>
      </c>
      <c r="I5" s="37" t="s">
        <v>119</v>
      </c>
      <c r="J5" s="37" t="s">
        <v>120</v>
      </c>
    </row>
    <row r="6" spans="2:12" ht="6" customHeight="1" x14ac:dyDescent="0.2"/>
    <row r="7" spans="2:12" ht="15.5" customHeight="1" x14ac:dyDescent="0.2">
      <c r="B7" s="3" t="s">
        <v>265</v>
      </c>
      <c r="C7" s="3"/>
      <c r="D7" s="3"/>
      <c r="E7" s="3"/>
      <c r="F7" s="3"/>
      <c r="G7" s="3"/>
      <c r="H7" s="3"/>
      <c r="I7" s="3"/>
      <c r="J7" s="3"/>
    </row>
    <row r="8" spans="2:12" x14ac:dyDescent="0.2">
      <c r="B8" s="38" t="s">
        <v>107</v>
      </c>
      <c r="C8" s="51">
        <f>Historicals!C8</f>
        <v>3169</v>
      </c>
      <c r="D8" s="51">
        <f>Historicals!D8</f>
        <v>3873</v>
      </c>
      <c r="E8" s="51">
        <f>Historicals!E8</f>
        <v>3716</v>
      </c>
      <c r="F8" s="13">
        <f>E8*(1+Assumptions!F20/100)</f>
        <v>3571.076</v>
      </c>
      <c r="G8" s="13">
        <f>F8*(1+Assumptions!G20/100)</f>
        <v>3696.0636599999998</v>
      </c>
      <c r="H8" s="13">
        <f>G8*(1+Assumptions!H20/100)</f>
        <v>3843.9062064</v>
      </c>
      <c r="I8" s="13">
        <f>H8*(1+Assumptions!I20/100)</f>
        <v>3968.8331581079997</v>
      </c>
      <c r="J8" s="13">
        <f>I8*(1+Assumptions!J20/100)</f>
        <v>4087.89815285124</v>
      </c>
    </row>
    <row r="9" spans="2:12" x14ac:dyDescent="0.2">
      <c r="B9" s="38" t="s">
        <v>266</v>
      </c>
      <c r="C9" s="48">
        <f>C11/(1-C10/100)</f>
        <v>491.29647666835712</v>
      </c>
      <c r="D9" s="48">
        <f>D11/(1-D10/100)</f>
        <v>501.14835645709667</v>
      </c>
      <c r="E9" s="48">
        <f>E11/(1-E10/100)</f>
        <v>525.80192221423454</v>
      </c>
      <c r="F9" s="48">
        <f>E9*(1+Assumptions!F22/100)</f>
        <v>531.0599414363769</v>
      </c>
      <c r="G9" s="48">
        <f>F9*(1+Assumptions!G22/100)</f>
        <v>541.68114026510443</v>
      </c>
      <c r="H9" s="48">
        <f>G9*(1+Assumptions!H22/100)</f>
        <v>553.86896592106928</v>
      </c>
      <c r="I9" s="48">
        <f>H9*(1+Assumptions!I22/100)</f>
        <v>567.71569006909601</v>
      </c>
      <c r="J9" s="48">
        <f>I9*(1+Assumptions!J22/100)</f>
        <v>581.90858232082337</v>
      </c>
    </row>
    <row r="10" spans="2:12" x14ac:dyDescent="0.2">
      <c r="B10" s="38" t="s">
        <v>267</v>
      </c>
      <c r="C10" s="52">
        <f>Assumptions!$C$12+Assumptions!$C$13*MAX(0,Assumptions!C8-Assumptions!$C$9)+Assumptions!C14</f>
        <v>2.1179999999999994</v>
      </c>
      <c r="D10" s="52">
        <f>Assumptions!$C$12+Assumptions!$C$13*MAX(0,Assumptions!D8-Assumptions!$C$9)+Assumptions!D14</f>
        <v>2.109</v>
      </c>
      <c r="E10" s="52">
        <f>Assumptions!$C$12+Assumptions!$C$13*MAX(0,Assumptions!E8-Assumptions!$C$9)+Assumptions!E14</f>
        <v>3.246</v>
      </c>
      <c r="F10" s="52">
        <f>Assumptions!$C$12+Assumptions!$C$13*MAX(0,Assumptions!F8-Assumptions!$C$9)+Assumptions!F14</f>
        <v>5.484</v>
      </c>
      <c r="G10" s="52">
        <f>Assumptions!$C$12+Assumptions!$C$13*MAX(0,Assumptions!G8-Assumptions!$C$9)+Assumptions!G14</f>
        <v>4.8539999999999992</v>
      </c>
      <c r="H10" s="52">
        <f>Assumptions!$C$12+Assumptions!$C$13*MAX(0,Assumptions!H8-Assumptions!$C$9)+Assumptions!H14</f>
        <v>4.3789999999999996</v>
      </c>
      <c r="I10" s="52">
        <f>Assumptions!$C$12+Assumptions!$C$13*MAX(0,Assumptions!I8-Assumptions!$C$9)+Assumptions!I14</f>
        <v>4.0940000000000003</v>
      </c>
      <c r="J10" s="52">
        <f>Assumptions!$C$12+Assumptions!$C$13*MAX(0,Assumptions!J8-Assumptions!$C$9)+Assumptions!J14</f>
        <v>3.9490000000000003</v>
      </c>
      <c r="L10" s="9" t="s">
        <v>268</v>
      </c>
    </row>
    <row r="11" spans="2:12" x14ac:dyDescent="0.2">
      <c r="B11" s="49" t="s">
        <v>269</v>
      </c>
      <c r="C11" s="53">
        <f>Historicals!C17/C8</f>
        <v>480.89081729252132</v>
      </c>
      <c r="D11" s="53">
        <f>Historicals!D17/D8</f>
        <v>490.57913761941649</v>
      </c>
      <c r="E11" s="53">
        <f>Historicals!E17/E8</f>
        <v>508.73439181916041</v>
      </c>
      <c r="F11" s="54">
        <f>F9*(1-F10/100)</f>
        <v>501.93661424800598</v>
      </c>
      <c r="G11" s="54">
        <f>G9*(1-G10/100)</f>
        <v>515.3879377166362</v>
      </c>
      <c r="H11" s="54">
        <f>H9*(1-H10/100)</f>
        <v>529.61504390338564</v>
      </c>
      <c r="I11" s="54">
        <f>I9*(1-I10/100)</f>
        <v>544.47340971766721</v>
      </c>
      <c r="J11" s="54">
        <f>J9*(1-J10/100)</f>
        <v>558.92901240497406</v>
      </c>
    </row>
    <row r="12" spans="2:12" x14ac:dyDescent="0.2">
      <c r="B12" s="38" t="s">
        <v>270</v>
      </c>
      <c r="C12" s="55">
        <f>(Historicals!C23-Historicals!C25)/C8</f>
        <v>387.80340801514672</v>
      </c>
      <c r="D12" s="55">
        <f>(Historicals!D23-Historicals!D25)/D8</f>
        <v>382.21688613477926</v>
      </c>
      <c r="E12" s="55">
        <f>(Historicals!E23-Historicals!E25)/E8</f>
        <v>395.2470398277718</v>
      </c>
      <c r="F12" s="48">
        <f>E12*(1+Assumptions!F24/100)</f>
        <v>395.2470398277718</v>
      </c>
      <c r="G12" s="48">
        <f>F12*(1+Assumptions!G24/100)</f>
        <v>403.94247470398278</v>
      </c>
      <c r="H12" s="48">
        <f>G12*(1+Assumptions!H24/100)</f>
        <v>413.6370940968784</v>
      </c>
      <c r="I12" s="48">
        <f>H12*(1+Assumptions!I24/100)</f>
        <v>423.97802144930034</v>
      </c>
      <c r="J12" s="48">
        <f>I12*(1+Assumptions!J24/100)</f>
        <v>434.57747198553284</v>
      </c>
    </row>
    <row r="13" spans="2:12" x14ac:dyDescent="0.2">
      <c r="B13" s="38" t="s">
        <v>271</v>
      </c>
      <c r="C13" s="48">
        <f t="shared" ref="C13:J13" si="0">C11-C12</f>
        <v>93.087409277374604</v>
      </c>
      <c r="D13" s="48">
        <f t="shared" si="0"/>
        <v>108.36225148463723</v>
      </c>
      <c r="E13" s="48">
        <f t="shared" si="0"/>
        <v>113.48735199138861</v>
      </c>
      <c r="F13" s="48">
        <f t="shared" si="0"/>
        <v>106.68957442023418</v>
      </c>
      <c r="G13" s="48">
        <f t="shared" si="0"/>
        <v>111.44546301265342</v>
      </c>
      <c r="H13" s="48">
        <f t="shared" si="0"/>
        <v>115.97794980650724</v>
      </c>
      <c r="I13" s="48">
        <f t="shared" si="0"/>
        <v>120.49538826836687</v>
      </c>
      <c r="J13" s="48">
        <f t="shared" si="0"/>
        <v>124.35154041944122</v>
      </c>
    </row>
    <row r="14" spans="2:12" x14ac:dyDescent="0.2">
      <c r="B14" s="49" t="s">
        <v>272</v>
      </c>
      <c r="C14" s="34">
        <f t="shared" ref="C14:J14" si="1">1-C12/C11</f>
        <v>0.19357285672758107</v>
      </c>
      <c r="D14" s="34">
        <f t="shared" si="1"/>
        <v>0.22088638340895561</v>
      </c>
      <c r="E14" s="34">
        <f t="shared" si="1"/>
        <v>0.22307780605430327</v>
      </c>
      <c r="F14" s="34">
        <f t="shared" si="1"/>
        <v>0.21255587138243526</v>
      </c>
      <c r="G14" s="34">
        <f t="shared" si="1"/>
        <v>0.21623607162092118</v>
      </c>
      <c r="H14" s="34">
        <f t="shared" si="1"/>
        <v>0.21898537653259031</v>
      </c>
      <c r="I14" s="34">
        <f t="shared" si="1"/>
        <v>0.22130628625344417</v>
      </c>
      <c r="J14" s="34">
        <f t="shared" si="1"/>
        <v>0.22248181371795006</v>
      </c>
    </row>
    <row r="15" spans="2:12" x14ac:dyDescent="0.2">
      <c r="B15" s="44" t="s">
        <v>273</v>
      </c>
      <c r="C15" s="45">
        <f t="shared" ref="C15:J15" si="2">C8*C11</f>
        <v>1523943</v>
      </c>
      <c r="D15" s="45">
        <f t="shared" si="2"/>
        <v>1900013</v>
      </c>
      <c r="E15" s="45">
        <f t="shared" si="2"/>
        <v>1890457</v>
      </c>
      <c r="F15" s="45">
        <f t="shared" si="2"/>
        <v>1792453.7966623122</v>
      </c>
      <c r="G15" s="45">
        <f t="shared" si="2"/>
        <v>1904906.6273968024</v>
      </c>
      <c r="H15" s="45">
        <f t="shared" si="2"/>
        <v>2035790.5542630325</v>
      </c>
      <c r="I15" s="45">
        <f t="shared" si="2"/>
        <v>2160924.1221956001</v>
      </c>
      <c r="J15" s="45">
        <f t="shared" si="2"/>
        <v>2284844.8773852615</v>
      </c>
    </row>
    <row r="16" spans="2:12" ht="6" customHeight="1" x14ac:dyDescent="0.2"/>
    <row r="17" spans="2:12" ht="15.5" customHeight="1" x14ac:dyDescent="0.2">
      <c r="B17" s="3" t="s">
        <v>274</v>
      </c>
      <c r="C17" s="3"/>
      <c r="D17" s="3"/>
      <c r="E17" s="3"/>
      <c r="F17" s="3"/>
      <c r="G17" s="3"/>
      <c r="H17" s="3"/>
      <c r="I17" s="3"/>
      <c r="J17" s="3"/>
    </row>
    <row r="18" spans="2:12" x14ac:dyDescent="0.2">
      <c r="B18" s="38" t="s">
        <v>107</v>
      </c>
      <c r="C18" s="51">
        <f>Historicals!C9</f>
        <v>4943</v>
      </c>
      <c r="D18" s="51">
        <f>Historicals!D9</f>
        <v>5182</v>
      </c>
      <c r="E18" s="51">
        <f>Historicals!E9</f>
        <v>5205</v>
      </c>
      <c r="F18" s="13">
        <f>E18*(1+Assumptions!F21/100)</f>
        <v>4981.1849999999995</v>
      </c>
      <c r="G18" s="13">
        <f>F18*(1+Assumptions!G21/100)</f>
        <v>5230.2442499999997</v>
      </c>
      <c r="H18" s="13">
        <f>G18*(1+Assumptions!H21/100)</f>
        <v>5517.9076837499997</v>
      </c>
      <c r="I18" s="13">
        <f>H18*(1+Assumptions!I21/100)</f>
        <v>5752.4187603093742</v>
      </c>
      <c r="J18" s="13">
        <f>I18*(1+Assumptions!J21/100)</f>
        <v>5982.5155107217497</v>
      </c>
    </row>
    <row r="19" spans="2:12" x14ac:dyDescent="0.2">
      <c r="B19" s="38" t="s">
        <v>266</v>
      </c>
      <c r="C19" s="48">
        <f>C21/(1-C20/100)</f>
        <v>506.52686259945608</v>
      </c>
      <c r="D19" s="48">
        <f>D21/(1-D20/100)</f>
        <v>497.64812683676473</v>
      </c>
      <c r="E19" s="48">
        <f>E21/(1-E20/100)</f>
        <v>487.69038436977593</v>
      </c>
      <c r="F19" s="48">
        <f>E19*(1+Assumptions!F23/100)</f>
        <v>480.37502860422927</v>
      </c>
      <c r="G19" s="48">
        <f>F19*(1+Assumptions!G23/100)</f>
        <v>485.17877889027159</v>
      </c>
      <c r="H19" s="48">
        <f>G19*(1+Assumptions!H23/100)</f>
        <v>494.88235446807704</v>
      </c>
      <c r="I19" s="48">
        <f>H19*(1+Assumptions!I23/100)</f>
        <v>506.01720744360875</v>
      </c>
      <c r="J19" s="48">
        <f>I19*(1+Assumptions!J23/100)</f>
        <v>517.40259461108997</v>
      </c>
    </row>
    <row r="20" spans="2:12" ht="26" x14ac:dyDescent="0.2">
      <c r="B20" s="38" t="s">
        <v>267</v>
      </c>
      <c r="C20" s="52">
        <f>Assumptions!$C$15+Assumptions!$C$16*MAX(0,Assumptions!C8-Assumptions!$C$9)+Assumptions!C17</f>
        <v>3.5159999999999991</v>
      </c>
      <c r="D20" s="52">
        <f>Assumptions!$C$15+Assumptions!$C$16*MAX(0,Assumptions!D8-Assumptions!$C$9)+Assumptions!D17</f>
        <v>3.5039999999999996</v>
      </c>
      <c r="E20" s="52">
        <f>Assumptions!$C$15+Assumptions!$C$16*MAX(0,Assumptions!E8-Assumptions!$C$9)+Assumptions!E17</f>
        <v>5.379999999999999</v>
      </c>
      <c r="F20" s="52">
        <f>Assumptions!$C$15+Assumptions!$C$16*MAX(0,Assumptions!F8-Assumptions!$C$9)+Assumptions!F17</f>
        <v>7.6950000000000003</v>
      </c>
      <c r="G20" s="52">
        <f>Assumptions!$C$15+Assumptions!$C$16*MAX(0,Assumptions!G8-Assumptions!$C$9)+Assumptions!G17</f>
        <v>6.7139999999999995</v>
      </c>
      <c r="H20" s="52">
        <f>Assumptions!$C$15+Assumptions!$C$16*MAX(0,Assumptions!H8-Assumptions!$C$9)+Assumptions!H17</f>
        <v>5.9639999999999995</v>
      </c>
      <c r="I20" s="52">
        <f>Assumptions!$C$15+Assumptions!$C$16*MAX(0,Assumptions!I8-Assumptions!$C$9)+Assumptions!I17</f>
        <v>5.484</v>
      </c>
      <c r="J20" s="52">
        <f>Assumptions!$C$15+Assumptions!$C$16*MAX(0,Assumptions!J8-Assumptions!$C$9)+Assumptions!J17</f>
        <v>5.2240000000000002</v>
      </c>
      <c r="L20" s="9" t="s">
        <v>275</v>
      </c>
    </row>
    <row r="21" spans="2:12" x14ac:dyDescent="0.2">
      <c r="B21" s="49" t="s">
        <v>269</v>
      </c>
      <c r="C21" s="53">
        <f>Historicals!C18/C18</f>
        <v>488.71737811045921</v>
      </c>
      <c r="D21" s="53">
        <f>Historicals!D18/D18</f>
        <v>480.2105364724045</v>
      </c>
      <c r="E21" s="53">
        <f>Historicals!E18/E18</f>
        <v>461.45264169068201</v>
      </c>
      <c r="F21" s="54">
        <f>F19*(1-F20/100)</f>
        <v>443.41017015313383</v>
      </c>
      <c r="G21" s="54">
        <f>G19*(1-G20/100)</f>
        <v>452.60387567557876</v>
      </c>
      <c r="H21" s="54">
        <f>H19*(1-H20/100)</f>
        <v>465.36757084760092</v>
      </c>
      <c r="I21" s="54">
        <f>I19*(1-I20/100)</f>
        <v>478.26722378740124</v>
      </c>
      <c r="J21" s="54">
        <f>J19*(1-J20/100)</f>
        <v>490.37348306860667</v>
      </c>
    </row>
    <row r="22" spans="2:12" x14ac:dyDescent="0.2">
      <c r="B22" s="38" t="s">
        <v>270</v>
      </c>
      <c r="C22" s="55">
        <f>(Historicals!C24-Historicals!C26)/C18</f>
        <v>361.24296985636255</v>
      </c>
      <c r="D22" s="55">
        <f>(Historicals!D24-Historicals!D26)/D18</f>
        <v>352.26842917792357</v>
      </c>
      <c r="E22" s="55">
        <f>(Historicals!E24-Historicals!E26)/E18</f>
        <v>361.98731988472622</v>
      </c>
      <c r="F22" s="48">
        <f>E22*(1+Assumptions!F25/100)</f>
        <v>360.90135792507203</v>
      </c>
      <c r="G22" s="48">
        <f>F22*(1+Assumptions!G25/100)</f>
        <v>368.11938508357349</v>
      </c>
      <c r="H22" s="48">
        <f>G22*(1+Assumptions!H25/100)</f>
        <v>376.58613094049565</v>
      </c>
      <c r="I22" s="48">
        <f>H22*(1+Assumptions!I25/100)</f>
        <v>386.00078421400804</v>
      </c>
      <c r="J22" s="48">
        <f>I22*(1+Assumptions!J25/100)</f>
        <v>395.6508038193582</v>
      </c>
    </row>
    <row r="23" spans="2:12" x14ac:dyDescent="0.2">
      <c r="B23" s="38" t="s">
        <v>271</v>
      </c>
      <c r="C23" s="48">
        <f t="shared" ref="C23:J23" si="3">C21-C22</f>
        <v>127.47440825409666</v>
      </c>
      <c r="D23" s="48">
        <f t="shared" si="3"/>
        <v>127.94210729448093</v>
      </c>
      <c r="E23" s="48">
        <f t="shared" si="3"/>
        <v>99.465321805955796</v>
      </c>
      <c r="F23" s="48">
        <f t="shared" si="3"/>
        <v>82.508812228061799</v>
      </c>
      <c r="G23" s="48">
        <f t="shared" si="3"/>
        <v>84.484490592005272</v>
      </c>
      <c r="H23" s="48">
        <f t="shared" si="3"/>
        <v>88.781439907105266</v>
      </c>
      <c r="I23" s="48">
        <f t="shared" si="3"/>
        <v>92.2664395733932</v>
      </c>
      <c r="J23" s="48">
        <f t="shared" si="3"/>
        <v>94.722679249248472</v>
      </c>
    </row>
    <row r="24" spans="2:12" x14ac:dyDescent="0.2">
      <c r="B24" s="49" t="s">
        <v>272</v>
      </c>
      <c r="C24" s="34">
        <f t="shared" ref="C24:J24" si="4">1-C22/C21</f>
        <v>0.26083461313971334</v>
      </c>
      <c r="D24" s="34">
        <f t="shared" si="4"/>
        <v>0.26642919631529827</v>
      </c>
      <c r="E24" s="34">
        <f t="shared" si="4"/>
        <v>0.21554827694025591</v>
      </c>
      <c r="F24" s="34">
        <f t="shared" si="4"/>
        <v>0.18607785247588482</v>
      </c>
      <c r="G24" s="34">
        <f t="shared" si="4"/>
        <v>0.18666320624386956</v>
      </c>
      <c r="H24" s="34">
        <f t="shared" si="4"/>
        <v>0.19077702330096291</v>
      </c>
      <c r="I24" s="34">
        <f t="shared" si="4"/>
        <v>0.19291817415948909</v>
      </c>
      <c r="J24" s="34">
        <f t="shared" si="4"/>
        <v>0.19316435843248092</v>
      </c>
    </row>
    <row r="25" spans="2:12" x14ac:dyDescent="0.2">
      <c r="B25" s="44" t="s">
        <v>273</v>
      </c>
      <c r="C25" s="45">
        <f t="shared" ref="C25:J25" si="5">C18*C21</f>
        <v>2415730</v>
      </c>
      <c r="D25" s="45">
        <f t="shared" si="5"/>
        <v>2488451</v>
      </c>
      <c r="E25" s="45">
        <f t="shared" si="5"/>
        <v>2401861</v>
      </c>
      <c r="F25" s="45">
        <f t="shared" si="5"/>
        <v>2208708.0884142378</v>
      </c>
      <c r="G25" s="45">
        <f t="shared" si="5"/>
        <v>2367228.8182799104</v>
      </c>
      <c r="H25" s="45">
        <f t="shared" si="5"/>
        <v>2567855.2949480494</v>
      </c>
      <c r="I25" s="45">
        <f t="shared" si="5"/>
        <v>2751193.3505557287</v>
      </c>
      <c r="J25" s="45">
        <f t="shared" si="5"/>
        <v>2933666.9685045886</v>
      </c>
    </row>
    <row r="26" spans="2:12" ht="6" customHeight="1" x14ac:dyDescent="0.2"/>
    <row r="27" spans="2:12" ht="15.5" customHeight="1" x14ac:dyDescent="0.2">
      <c r="B27" s="3" t="s">
        <v>276</v>
      </c>
      <c r="C27" s="3"/>
      <c r="D27" s="3"/>
      <c r="E27" s="3"/>
      <c r="F27" s="3"/>
      <c r="G27" s="3"/>
      <c r="H27" s="3"/>
      <c r="I27" s="3"/>
      <c r="J27" s="3"/>
    </row>
    <row r="28" spans="2:12" x14ac:dyDescent="0.2">
      <c r="B28" s="38" t="s">
        <v>277</v>
      </c>
      <c r="C28" s="13">
        <f>Historicals!C17+Historicals!C18-C15-C25</f>
        <v>0</v>
      </c>
      <c r="D28" s="13">
        <f>Historicals!D17+Historicals!D18-D15-D25</f>
        <v>0</v>
      </c>
      <c r="E28" s="13">
        <f>Historicals!E17+Historicals!E18-E15-E25</f>
        <v>0</v>
      </c>
      <c r="F28" s="51">
        <f>Assumptions!F28</f>
        <v>22000</v>
      </c>
      <c r="G28" s="51">
        <f>Assumptions!G28</f>
        <v>24000</v>
      </c>
      <c r="H28" s="51">
        <f>Assumptions!H28</f>
        <v>26000</v>
      </c>
      <c r="I28" s="51">
        <f>Assumptions!I28</f>
        <v>28000</v>
      </c>
      <c r="J28" s="51">
        <f>Assumptions!J28</f>
        <v>30000</v>
      </c>
    </row>
    <row r="29" spans="2:12" x14ac:dyDescent="0.2">
      <c r="B29" s="38" t="s">
        <v>278</v>
      </c>
      <c r="C29" s="13">
        <f>Historicals!C19</f>
        <v>93829</v>
      </c>
      <c r="D29" s="13">
        <f>Historicals!D19</f>
        <v>116206</v>
      </c>
      <c r="E29" s="13">
        <f>Historicals!E19</f>
        <v>125463</v>
      </c>
      <c r="F29" s="13">
        <f>E29*(1+Assumptions!F29/100)</f>
        <v>127344.94499999999</v>
      </c>
      <c r="G29" s="13">
        <f>F29*(1+Assumptions!G29/100)</f>
        <v>133712.19224999999</v>
      </c>
      <c r="H29" s="13">
        <f>G29*(1+Assumptions!H29/100)</f>
        <v>141066.36282374998</v>
      </c>
      <c r="I29" s="13">
        <f>H29*(1+Assumptions!I29/100)</f>
        <v>147414.34915081871</v>
      </c>
      <c r="J29" s="13">
        <f>I29*(1+Assumptions!J29/100)</f>
        <v>154047.99486260556</v>
      </c>
    </row>
    <row r="30" spans="2:12" ht="6" customHeight="1" x14ac:dyDescent="0.2"/>
    <row r="31" spans="2:12" ht="15.5" customHeight="1" x14ac:dyDescent="0.2">
      <c r="B31" s="3" t="s">
        <v>279</v>
      </c>
      <c r="C31" s="3"/>
      <c r="D31" s="3"/>
      <c r="E31" s="3"/>
      <c r="F31" s="3"/>
      <c r="G31" s="3"/>
      <c r="H31" s="3"/>
      <c r="I31" s="3"/>
      <c r="J31" s="3"/>
    </row>
    <row r="32" spans="2:12" x14ac:dyDescent="0.2">
      <c r="B32" s="38" t="s">
        <v>280</v>
      </c>
      <c r="C32" s="13">
        <f>Historicals!C17</f>
        <v>1523943</v>
      </c>
      <c r="D32" s="13">
        <f>Historicals!D17</f>
        <v>1900013</v>
      </c>
      <c r="E32" s="13">
        <f>Historicals!E17</f>
        <v>1890457</v>
      </c>
      <c r="F32" s="13">
        <f>F15+F28*(1-Assumptions!$C$36/100)</f>
        <v>1800153.7966623122</v>
      </c>
      <c r="G32" s="13">
        <f>G15+G28*(1-Assumptions!$C$36/100)</f>
        <v>1913306.6273968024</v>
      </c>
      <c r="H32" s="13">
        <f>H15+H28*(1-Assumptions!$C$36/100)</f>
        <v>2044890.5542630325</v>
      </c>
      <c r="I32" s="13">
        <f>I15+I28*(1-Assumptions!$C$36/100)</f>
        <v>2170724.1221956001</v>
      </c>
      <c r="J32" s="13">
        <f>J15+J28*(1-Assumptions!$C$36/100)</f>
        <v>2295344.8773852615</v>
      </c>
    </row>
    <row r="33" spans="2:12" x14ac:dyDescent="0.2">
      <c r="B33" s="38" t="s">
        <v>281</v>
      </c>
      <c r="C33" s="13">
        <f>Historicals!C18</f>
        <v>2415730</v>
      </c>
      <c r="D33" s="13">
        <f>Historicals!D18</f>
        <v>2488451</v>
      </c>
      <c r="E33" s="13">
        <f>Historicals!E18</f>
        <v>2401861</v>
      </c>
      <c r="F33" s="13">
        <f>F25+F28*Assumptions!$C$36/100</f>
        <v>2223008.0884142378</v>
      </c>
      <c r="G33" s="13">
        <f>G25+G28*Assumptions!$C$36/100</f>
        <v>2382828.8182799104</v>
      </c>
      <c r="H33" s="13">
        <f>H25+H28*Assumptions!$C$36/100</f>
        <v>2584755.2949480494</v>
      </c>
      <c r="I33" s="13">
        <f>I25+I28*Assumptions!$C$36/100</f>
        <v>2769393.3505557287</v>
      </c>
      <c r="J33" s="13">
        <f>J25+J28*Assumptions!$C$36/100</f>
        <v>2953166.9685045886</v>
      </c>
    </row>
    <row r="34" spans="2:12" x14ac:dyDescent="0.2">
      <c r="B34" s="44" t="s">
        <v>282</v>
      </c>
      <c r="C34" s="45">
        <f t="shared" ref="C34:J34" si="6">C32+C33</f>
        <v>3939673</v>
      </c>
      <c r="D34" s="45">
        <f t="shared" si="6"/>
        <v>4388464</v>
      </c>
      <c r="E34" s="45">
        <f t="shared" si="6"/>
        <v>4292318</v>
      </c>
      <c r="F34" s="45">
        <f t="shared" si="6"/>
        <v>4023161.8850765498</v>
      </c>
      <c r="G34" s="45">
        <f t="shared" si="6"/>
        <v>4296135.4456767123</v>
      </c>
      <c r="H34" s="45">
        <f t="shared" si="6"/>
        <v>4629645.8492110819</v>
      </c>
      <c r="I34" s="45">
        <f t="shared" si="6"/>
        <v>4940117.4727513287</v>
      </c>
      <c r="J34" s="45">
        <f t="shared" si="6"/>
        <v>5248511.8458898496</v>
      </c>
    </row>
    <row r="35" spans="2:12" x14ac:dyDescent="0.2">
      <c r="B35" s="44" t="s">
        <v>207</v>
      </c>
      <c r="C35" s="45">
        <f t="shared" ref="C35:J35" si="7">C34+C29</f>
        <v>4033502</v>
      </c>
      <c r="D35" s="45">
        <f t="shared" si="7"/>
        <v>4504670</v>
      </c>
      <c r="E35" s="45">
        <f t="shared" si="7"/>
        <v>4417781</v>
      </c>
      <c r="F35" s="45">
        <f t="shared" si="7"/>
        <v>4150506.8300765497</v>
      </c>
      <c r="G35" s="45">
        <f t="shared" si="7"/>
        <v>4429847.6379267126</v>
      </c>
      <c r="H35" s="45">
        <f t="shared" si="7"/>
        <v>4770712.2120348318</v>
      </c>
      <c r="I35" s="45">
        <f t="shared" si="7"/>
        <v>5087531.8219021475</v>
      </c>
      <c r="J35" s="45">
        <f t="shared" si="7"/>
        <v>5402559.8407524554</v>
      </c>
    </row>
    <row r="36" spans="2:12" ht="6" customHeight="1" x14ac:dyDescent="0.2"/>
    <row r="37" spans="2:12" x14ac:dyDescent="0.2">
      <c r="B37" s="38" t="s">
        <v>225</v>
      </c>
      <c r="C37" s="13">
        <f>Historicals!C43</f>
        <v>3014573</v>
      </c>
      <c r="D37" s="13">
        <f>Historicals!D43</f>
        <v>3305781</v>
      </c>
      <c r="E37" s="13">
        <f>Historicals!E43</f>
        <v>3400582</v>
      </c>
      <c r="F37" s="13">
        <f>F8*F12+F18*F22+F28*(1-Assumptions!$C$35/100)+Assumptions!F33</f>
        <v>3245633.6485759998</v>
      </c>
      <c r="G37" s="13">
        <f>G8*G12+G18*G22+G28*(1-Assumptions!$C$35/100)+Assumptions!G33</f>
        <v>3449671.398630756</v>
      </c>
      <c r="H37" s="13">
        <f>H8*H12+H18*H22+H28*(1-Assumptions!$C$35/100)+Assumptions!H33</f>
        <v>3699129.6987064965</v>
      </c>
      <c r="I37" s="13">
        <f>I8*I12+I18*I22+I28*(1-Assumptions!$C$35/100)+Assumptions!I33</f>
        <v>3936176.1824437985</v>
      </c>
      <c r="J37" s="13">
        <f>J8*J12+J18*J22+J28*(1-Assumptions!$C$35/100)+Assumptions!J33</f>
        <v>4178395.5156792598</v>
      </c>
    </row>
    <row r="38" spans="2:12" x14ac:dyDescent="0.2">
      <c r="B38" s="49" t="s">
        <v>108</v>
      </c>
      <c r="C38" s="34">
        <f t="shared" ref="C38:J38" si="8">1-C37/C34</f>
        <v>0.23481644288751879</v>
      </c>
      <c r="D38" s="34">
        <f t="shared" si="8"/>
        <v>0.24671114996044174</v>
      </c>
      <c r="E38" s="34">
        <f t="shared" si="8"/>
        <v>0.20775161579361079</v>
      </c>
      <c r="F38" s="34">
        <f t="shared" si="8"/>
        <v>0.19326297541858817</v>
      </c>
      <c r="G38" s="34">
        <f t="shared" si="8"/>
        <v>0.19702918070187248</v>
      </c>
      <c r="H38" s="34">
        <f t="shared" si="8"/>
        <v>0.20099078435192852</v>
      </c>
      <c r="I38" s="34">
        <f t="shared" si="8"/>
        <v>0.2032221492393782</v>
      </c>
      <c r="J38" s="34">
        <f t="shared" si="8"/>
        <v>0.20388947603283136</v>
      </c>
    </row>
    <row r="39" spans="2:12" x14ac:dyDescent="0.2">
      <c r="B39" s="49" t="s">
        <v>283</v>
      </c>
      <c r="C39" s="34">
        <f t="shared" ref="C39:J39" si="9">1-C37/C35</f>
        <v>0.25261646083229905</v>
      </c>
      <c r="D39" s="34">
        <f t="shared" si="9"/>
        <v>0.26614357988487503</v>
      </c>
      <c r="E39" s="34">
        <f t="shared" si="9"/>
        <v>0.23025111475648063</v>
      </c>
      <c r="F39" s="34">
        <f t="shared" si="9"/>
        <v>0.21801510479236119</v>
      </c>
      <c r="G39" s="34">
        <f t="shared" si="9"/>
        <v>0.22126635482991586</v>
      </c>
      <c r="H39" s="34">
        <f t="shared" si="9"/>
        <v>0.22461688437737004</v>
      </c>
      <c r="I39" s="34">
        <f t="shared" si="9"/>
        <v>0.22630927525636102</v>
      </c>
      <c r="J39" s="34">
        <f t="shared" si="9"/>
        <v>0.22658968362351295</v>
      </c>
      <c r="L39" s="9" t="s">
        <v>284</v>
      </c>
    </row>
    <row r="40" spans="2:12" ht="6" customHeight="1" x14ac:dyDescent="0.2"/>
    <row r="41" spans="2:12" ht="15.5" customHeight="1" x14ac:dyDescent="0.2">
      <c r="B41" s="3" t="s">
        <v>285</v>
      </c>
      <c r="C41" s="3"/>
      <c r="D41" s="3"/>
      <c r="E41" s="3"/>
      <c r="F41" s="3"/>
      <c r="G41" s="3"/>
      <c r="H41" s="3"/>
      <c r="I41" s="3"/>
      <c r="J41" s="3"/>
    </row>
    <row r="42" spans="2:12" x14ac:dyDescent="0.2">
      <c r="B42" s="38" t="s">
        <v>286</v>
      </c>
      <c r="C42" s="48">
        <f>C35-Historicals!C20</f>
        <v>0</v>
      </c>
      <c r="D42" s="48">
        <f>D35-Historicals!D20</f>
        <v>0</v>
      </c>
      <c r="E42" s="48">
        <f>E35-Historicals!E20</f>
        <v>0</v>
      </c>
    </row>
    <row r="43" spans="2:12" x14ac:dyDescent="0.2">
      <c r="B43" s="38" t="s">
        <v>287</v>
      </c>
      <c r="C43" s="48">
        <f>C8+C18-Historicals!C10</f>
        <v>0</v>
      </c>
      <c r="D43" s="48">
        <f>D8+D18-Historicals!D10</f>
        <v>0</v>
      </c>
      <c r="E43" s="48">
        <f>E8+E18-Historicals!E10</f>
        <v>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5A7A"/>
  </sheetPr>
  <dimension ref="B2:L45"/>
  <sheetViews>
    <sheetView showGridLines="0" workbookViewId="0">
      <pane xSplit="2" ySplit="5" topLeftCell="C22" activePane="bottomRight" state="frozen"/>
      <selection pane="topRight"/>
      <selection pane="bottomLeft"/>
      <selection pane="bottomRight"/>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0" ht="21" customHeight="1" x14ac:dyDescent="0.25">
      <c r="B2" s="1" t="s">
        <v>288</v>
      </c>
    </row>
    <row r="3" spans="2:10" x14ac:dyDescent="0.2">
      <c r="B3" s="2" t="s">
        <v>289</v>
      </c>
    </row>
    <row r="5" spans="2:10" ht="18" customHeight="1" x14ac:dyDescent="0.2">
      <c r="B5" s="36" t="s">
        <v>190</v>
      </c>
      <c r="C5" s="37" t="s">
        <v>118</v>
      </c>
      <c r="D5" s="37" t="s">
        <v>101</v>
      </c>
      <c r="E5" s="37" t="s">
        <v>102</v>
      </c>
      <c r="F5" s="37" t="s">
        <v>103</v>
      </c>
      <c r="G5" s="37" t="s">
        <v>104</v>
      </c>
      <c r="H5" s="37" t="s">
        <v>105</v>
      </c>
      <c r="I5" s="37" t="s">
        <v>119</v>
      </c>
      <c r="J5" s="37" t="s">
        <v>120</v>
      </c>
    </row>
    <row r="6" spans="2:10" ht="6" customHeight="1" x14ac:dyDescent="0.2"/>
    <row r="7" spans="2:10" ht="15.5" customHeight="1" x14ac:dyDescent="0.2">
      <c r="B7" s="3" t="s">
        <v>290</v>
      </c>
      <c r="C7" s="3"/>
      <c r="D7" s="3"/>
      <c r="E7" s="3"/>
      <c r="F7" s="3"/>
      <c r="G7" s="3"/>
      <c r="H7" s="3"/>
      <c r="I7" s="3"/>
      <c r="J7" s="3"/>
    </row>
    <row r="8" spans="2:10" x14ac:dyDescent="0.2">
      <c r="B8" s="38" t="s">
        <v>203</v>
      </c>
      <c r="C8" s="51">
        <f>'Segment Build'!C32</f>
        <v>1523943</v>
      </c>
      <c r="D8" s="51">
        <f>'Segment Build'!D32</f>
        <v>1900013</v>
      </c>
      <c r="E8" s="51">
        <f>'Segment Build'!E32</f>
        <v>1890457</v>
      </c>
      <c r="F8" s="51">
        <f>'Segment Build'!F32</f>
        <v>1800153.7966623122</v>
      </c>
      <c r="G8" s="51">
        <f>'Segment Build'!G32</f>
        <v>1913306.6273968024</v>
      </c>
      <c r="H8" s="51">
        <f>'Segment Build'!H32</f>
        <v>2044890.5542630325</v>
      </c>
      <c r="I8" s="51">
        <f>'Segment Build'!I32</f>
        <v>2170724.1221956001</v>
      </c>
      <c r="J8" s="51">
        <f>'Segment Build'!J32</f>
        <v>2295344.8773852615</v>
      </c>
    </row>
    <row r="9" spans="2:10" x14ac:dyDescent="0.2">
      <c r="B9" s="38" t="s">
        <v>205</v>
      </c>
      <c r="C9" s="51">
        <f>'Segment Build'!C33</f>
        <v>2415730</v>
      </c>
      <c r="D9" s="51">
        <f>'Segment Build'!D33</f>
        <v>2488451</v>
      </c>
      <c r="E9" s="51">
        <f>'Segment Build'!E33</f>
        <v>2401861</v>
      </c>
      <c r="F9" s="51">
        <f>'Segment Build'!F33</f>
        <v>2223008.0884142378</v>
      </c>
      <c r="G9" s="51">
        <f>'Segment Build'!G33</f>
        <v>2382828.8182799104</v>
      </c>
      <c r="H9" s="51">
        <f>'Segment Build'!H33</f>
        <v>2584755.2949480494</v>
      </c>
      <c r="I9" s="51">
        <f>'Segment Build'!I33</f>
        <v>2769393.3505557287</v>
      </c>
      <c r="J9" s="51">
        <f>'Segment Build'!J33</f>
        <v>2953166.9685045886</v>
      </c>
    </row>
    <row r="10" spans="2:10" x14ac:dyDescent="0.2">
      <c r="B10" s="38" t="s">
        <v>206</v>
      </c>
      <c r="C10" s="51">
        <f>'Segment Build'!C29</f>
        <v>93829</v>
      </c>
      <c r="D10" s="51">
        <f>'Segment Build'!D29</f>
        <v>116206</v>
      </c>
      <c r="E10" s="51">
        <f>'Segment Build'!E29</f>
        <v>125463</v>
      </c>
      <c r="F10" s="51">
        <f>'Segment Build'!F29</f>
        <v>127344.94499999999</v>
      </c>
      <c r="G10" s="51">
        <f>'Segment Build'!G29</f>
        <v>133712.19224999999</v>
      </c>
      <c r="H10" s="51">
        <f>'Segment Build'!H29</f>
        <v>141066.36282374998</v>
      </c>
      <c r="I10" s="51">
        <f>'Segment Build'!I29</f>
        <v>147414.34915081871</v>
      </c>
      <c r="J10" s="51">
        <f>'Segment Build'!J29</f>
        <v>154047.99486260556</v>
      </c>
    </row>
    <row r="11" spans="2:10" x14ac:dyDescent="0.2">
      <c r="B11" s="44" t="s">
        <v>207</v>
      </c>
      <c r="C11" s="45">
        <f t="shared" ref="C11:J11" si="0">SUM(C8:C10)</f>
        <v>4033502</v>
      </c>
      <c r="D11" s="45">
        <f t="shared" si="0"/>
        <v>4504670</v>
      </c>
      <c r="E11" s="45">
        <f t="shared" si="0"/>
        <v>4417781</v>
      </c>
      <c r="F11" s="45">
        <f t="shared" si="0"/>
        <v>4150506.8300765497</v>
      </c>
      <c r="G11" s="45">
        <f t="shared" si="0"/>
        <v>4429847.6379267126</v>
      </c>
      <c r="H11" s="45">
        <f t="shared" si="0"/>
        <v>4770712.2120348318</v>
      </c>
      <c r="I11" s="45">
        <f t="shared" si="0"/>
        <v>5087531.8219021475</v>
      </c>
      <c r="J11" s="45">
        <f t="shared" si="0"/>
        <v>5402559.8407524554</v>
      </c>
    </row>
    <row r="12" spans="2:10" x14ac:dyDescent="0.2">
      <c r="B12" s="46" t="s">
        <v>291</v>
      </c>
      <c r="D12" s="16">
        <f t="shared" ref="D12:J12" si="1">D11/C11-1</f>
        <v>0.11681362746318213</v>
      </c>
      <c r="E12" s="16">
        <f t="shared" si="1"/>
        <v>-1.9288649335023389E-2</v>
      </c>
      <c r="F12" s="16">
        <f t="shared" si="1"/>
        <v>-6.0499642223878936E-2</v>
      </c>
      <c r="G12" s="16">
        <f t="shared" si="1"/>
        <v>6.7302818495786232E-2</v>
      </c>
      <c r="H12" s="16">
        <f t="shared" si="1"/>
        <v>7.6947245586905355E-2</v>
      </c>
      <c r="I12" s="16">
        <f t="shared" si="1"/>
        <v>6.640928980542804E-2</v>
      </c>
      <c r="J12" s="16">
        <f t="shared" si="1"/>
        <v>6.1921581992685049E-2</v>
      </c>
    </row>
    <row r="13" spans="2:10" ht="6" customHeight="1" x14ac:dyDescent="0.2"/>
    <row r="14" spans="2:10" x14ac:dyDescent="0.2">
      <c r="B14" s="38" t="s">
        <v>225</v>
      </c>
      <c r="C14" s="51">
        <f>'Segment Build'!C37</f>
        <v>3014573</v>
      </c>
      <c r="D14" s="51">
        <f>'Segment Build'!D37</f>
        <v>3305781</v>
      </c>
      <c r="E14" s="51">
        <f>'Segment Build'!E37</f>
        <v>3400582</v>
      </c>
      <c r="F14" s="51">
        <f>'Segment Build'!F37</f>
        <v>3245633.6485759998</v>
      </c>
      <c r="G14" s="51">
        <f>'Segment Build'!G37</f>
        <v>3449671.398630756</v>
      </c>
      <c r="H14" s="51">
        <f>'Segment Build'!H37</f>
        <v>3699129.6987064965</v>
      </c>
      <c r="I14" s="51">
        <f>'Segment Build'!I37</f>
        <v>3936176.1824437985</v>
      </c>
      <c r="J14" s="51">
        <f>'Segment Build'!J37</f>
        <v>4178395.5156792598</v>
      </c>
    </row>
    <row r="15" spans="2:10" x14ac:dyDescent="0.2">
      <c r="B15" s="44" t="s">
        <v>292</v>
      </c>
      <c r="C15" s="45">
        <f t="shared" ref="C15:J15" si="2">C11-C14</f>
        <v>1018929</v>
      </c>
      <c r="D15" s="45">
        <f t="shared" si="2"/>
        <v>1198889</v>
      </c>
      <c r="E15" s="45">
        <f t="shared" si="2"/>
        <v>1017199</v>
      </c>
      <c r="F15" s="45">
        <f t="shared" si="2"/>
        <v>904873.18150054989</v>
      </c>
      <c r="G15" s="45">
        <f t="shared" si="2"/>
        <v>980176.23929595668</v>
      </c>
      <c r="H15" s="45">
        <f t="shared" si="2"/>
        <v>1071582.5133283352</v>
      </c>
      <c r="I15" s="45">
        <f t="shared" si="2"/>
        <v>1151355.639458349</v>
      </c>
      <c r="J15" s="45">
        <f t="shared" si="2"/>
        <v>1224164.3250731956</v>
      </c>
    </row>
    <row r="16" spans="2:10" x14ac:dyDescent="0.2">
      <c r="B16" s="56" t="s">
        <v>293</v>
      </c>
      <c r="C16" s="34">
        <f t="shared" ref="C16:J16" si="3">C15/C11</f>
        <v>0.25261646083229911</v>
      </c>
      <c r="D16" s="34">
        <f t="shared" si="3"/>
        <v>0.26614357988487503</v>
      </c>
      <c r="E16" s="34">
        <f t="shared" si="3"/>
        <v>0.23025111475648069</v>
      </c>
      <c r="F16" s="34">
        <f t="shared" si="3"/>
        <v>0.21801510479236119</v>
      </c>
      <c r="G16" s="34">
        <f t="shared" si="3"/>
        <v>0.22126635482991586</v>
      </c>
      <c r="H16" s="34">
        <f t="shared" si="3"/>
        <v>0.22461688437737007</v>
      </c>
      <c r="I16" s="34">
        <f t="shared" si="3"/>
        <v>0.22630927525636102</v>
      </c>
      <c r="J16" s="34">
        <f t="shared" si="3"/>
        <v>0.22658968362351301</v>
      </c>
    </row>
    <row r="17" spans="2:10" x14ac:dyDescent="0.2">
      <c r="B17" s="56" t="s">
        <v>294</v>
      </c>
      <c r="C17" s="34">
        <f t="shared" ref="C17:J17" si="4">1-C14/(C8+C9)</f>
        <v>0.23481644288751879</v>
      </c>
      <c r="D17" s="34">
        <f t="shared" si="4"/>
        <v>0.24671114996044174</v>
      </c>
      <c r="E17" s="34">
        <f t="shared" si="4"/>
        <v>0.20775161579361079</v>
      </c>
      <c r="F17" s="34">
        <f t="shared" si="4"/>
        <v>0.19326297541858817</v>
      </c>
      <c r="G17" s="34">
        <f t="shared" si="4"/>
        <v>0.19702918070187248</v>
      </c>
      <c r="H17" s="34">
        <f t="shared" si="4"/>
        <v>0.20099078435192852</v>
      </c>
      <c r="I17" s="34">
        <f t="shared" si="4"/>
        <v>0.2032221492393782</v>
      </c>
      <c r="J17" s="34">
        <f t="shared" si="4"/>
        <v>0.20388947603283136</v>
      </c>
    </row>
    <row r="18" spans="2:10" ht="6" customHeight="1" x14ac:dyDescent="0.2"/>
    <row r="19" spans="2:10" ht="15.5" customHeight="1" x14ac:dyDescent="0.2">
      <c r="B19" s="3" t="s">
        <v>295</v>
      </c>
      <c r="C19" s="3"/>
      <c r="D19" s="3"/>
      <c r="E19" s="3"/>
      <c r="F19" s="3"/>
      <c r="G19" s="3"/>
      <c r="H19" s="3"/>
      <c r="I19" s="3"/>
      <c r="J19" s="3"/>
    </row>
    <row r="20" spans="2:10" x14ac:dyDescent="0.2">
      <c r="B20" s="38" t="s">
        <v>296</v>
      </c>
      <c r="C20" s="13">
        <f>Historicals!C36+Historicals!C37</f>
        <v>206707</v>
      </c>
      <c r="D20" s="13">
        <f>Historicals!D36+Historicals!D37</f>
        <v>231878</v>
      </c>
      <c r="E20" s="13">
        <f>Historicals!E36+Historicals!E37</f>
        <v>245317</v>
      </c>
      <c r="F20" s="13">
        <f>(F8+F9)*Assumptions!F30/100</f>
        <v>249436.03687474609</v>
      </c>
      <c r="G20" s="13">
        <f>(G8+G9)*Assumptions!G30/100</f>
        <v>257768.12674060275</v>
      </c>
      <c r="H20" s="13">
        <f>(H8+H9)*Assumptions!H30/100</f>
        <v>268519.45925424271</v>
      </c>
      <c r="I20" s="13">
        <f>(I8+I9)*Assumptions!I30/100</f>
        <v>281586.69594682573</v>
      </c>
      <c r="J20" s="13">
        <f>(J8+J9)*Assumptions!J30/100</f>
        <v>296540.9192927765</v>
      </c>
    </row>
    <row r="21" spans="2:10" x14ac:dyDescent="0.2">
      <c r="B21" s="38" t="s">
        <v>297</v>
      </c>
      <c r="C21" s="13">
        <f>Historicals!C38+Historicals!C39+Historicals!C40</f>
        <v>147020</v>
      </c>
      <c r="D21" s="13">
        <f>Historicals!D38+Historicals!D39+Historicals!D40</f>
        <v>171934</v>
      </c>
      <c r="E21" s="13">
        <f>Historicals!E38+Historicals!E39+Historicals!E40</f>
        <v>175697</v>
      </c>
      <c r="F21" s="13">
        <f>(F8+F9)*Assumptions!F31/100+F10*(1-Assumptions!$C$37/100)</f>
        <v>170590.48275714339</v>
      </c>
      <c r="G21" s="13">
        <f>(G8+G9)*Assumptions!G31/100+G10*(1-Assumptions!$C$37/100)</f>
        <v>177693.93159615656</v>
      </c>
      <c r="H21" s="13">
        <f>(H8+H9)*Assumptions!H31/100+H10*(1-Assumptions!$C$37/100)</f>
        <v>187333.77467382103</v>
      </c>
      <c r="I21" s="13">
        <f>(I8+I9)*Assumptions!I31/100+I10*(1-Assumptions!$C$37/100)</f>
        <v>196998.61839698246</v>
      </c>
      <c r="J21" s="13">
        <f>(J8+J9)*Assumptions!J31/100+J10*(1-Assumptions!$C$37/100)</f>
        <v>206553.1456556216</v>
      </c>
    </row>
    <row r="22" spans="2:10" x14ac:dyDescent="0.2">
      <c r="B22" s="38" t="s">
        <v>216</v>
      </c>
      <c r="C22" s="13">
        <f>-Historicals!C32</f>
        <v>77980</v>
      </c>
      <c r="D22" s="13">
        <f>-Historicals!D32</f>
        <v>88983</v>
      </c>
      <c r="E22" s="13">
        <f>-Historicals!E32</f>
        <v>89632</v>
      </c>
      <c r="F22" s="13">
        <f>-Assumptions!F32</f>
        <v>93000</v>
      </c>
      <c r="G22" s="13">
        <f>-Assumptions!G32</f>
        <v>96500</v>
      </c>
      <c r="H22" s="13">
        <f>-Assumptions!H32</f>
        <v>100500</v>
      </c>
      <c r="I22" s="13">
        <f>-Assumptions!I32</f>
        <v>104500</v>
      </c>
      <c r="J22" s="13">
        <f>-Assumptions!J32</f>
        <v>108500</v>
      </c>
    </row>
    <row r="23" spans="2:10" x14ac:dyDescent="0.2">
      <c r="B23" s="44" t="s">
        <v>298</v>
      </c>
      <c r="C23" s="45">
        <f t="shared" ref="C23:J23" si="5">SUM(C20:C22)</f>
        <v>431707</v>
      </c>
      <c r="D23" s="45">
        <f t="shared" si="5"/>
        <v>492795</v>
      </c>
      <c r="E23" s="45">
        <f t="shared" si="5"/>
        <v>510646</v>
      </c>
      <c r="F23" s="45">
        <f t="shared" si="5"/>
        <v>513026.51963188947</v>
      </c>
      <c r="G23" s="45">
        <f t="shared" si="5"/>
        <v>531962.05833675934</v>
      </c>
      <c r="H23" s="45">
        <f t="shared" si="5"/>
        <v>556353.23392806377</v>
      </c>
      <c r="I23" s="45">
        <f t="shared" si="5"/>
        <v>583085.31434380822</v>
      </c>
      <c r="J23" s="45">
        <f t="shared" si="5"/>
        <v>611594.06494839815</v>
      </c>
    </row>
    <row r="24" spans="2:10" x14ac:dyDescent="0.2">
      <c r="B24" s="46" t="s">
        <v>299</v>
      </c>
      <c r="C24" s="16">
        <f t="shared" ref="C24:J24" si="6">C23/C11</f>
        <v>0.10703031757514933</v>
      </c>
      <c r="D24" s="16">
        <f t="shared" si="6"/>
        <v>0.10939647077366378</v>
      </c>
      <c r="E24" s="16">
        <f t="shared" si="6"/>
        <v>0.11558879899207317</v>
      </c>
      <c r="F24" s="16">
        <f t="shared" si="6"/>
        <v>0.12360575241420034</v>
      </c>
      <c r="G24" s="16">
        <f t="shared" si="6"/>
        <v>0.12008585888649927</v>
      </c>
      <c r="H24" s="16">
        <f t="shared" si="6"/>
        <v>0.1166184857104941</v>
      </c>
      <c r="I24" s="16">
        <f t="shared" si="6"/>
        <v>0.1146106471184296</v>
      </c>
      <c r="J24" s="16">
        <f t="shared" si="6"/>
        <v>0.11320449619734649</v>
      </c>
    </row>
    <row r="25" spans="2:10" ht="6" customHeight="1" x14ac:dyDescent="0.2"/>
    <row r="26" spans="2:10" x14ac:dyDescent="0.2">
      <c r="B26" s="44" t="s">
        <v>300</v>
      </c>
      <c r="C26" s="45">
        <f t="shared" ref="C26:J26" si="7">C15-C23</f>
        <v>587222</v>
      </c>
      <c r="D26" s="45">
        <f t="shared" si="7"/>
        <v>706094</v>
      </c>
      <c r="E26" s="45">
        <f t="shared" si="7"/>
        <v>506553</v>
      </c>
      <c r="F26" s="45">
        <f t="shared" si="7"/>
        <v>391846.66186866042</v>
      </c>
      <c r="G26" s="45">
        <f t="shared" si="7"/>
        <v>448214.18095919734</v>
      </c>
      <c r="H26" s="45">
        <f t="shared" si="7"/>
        <v>515229.27940027148</v>
      </c>
      <c r="I26" s="45">
        <f t="shared" si="7"/>
        <v>568270.32511454076</v>
      </c>
      <c r="J26" s="45">
        <f t="shared" si="7"/>
        <v>612570.26012479747</v>
      </c>
    </row>
    <row r="27" spans="2:10" x14ac:dyDescent="0.2">
      <c r="B27" s="56" t="s">
        <v>301</v>
      </c>
      <c r="C27" s="34">
        <f t="shared" ref="C27:J27" si="8">C26/C11</f>
        <v>0.14558614325714975</v>
      </c>
      <c r="D27" s="34">
        <f t="shared" si="8"/>
        <v>0.15674710911121126</v>
      </c>
      <c r="E27" s="34">
        <f t="shared" si="8"/>
        <v>0.11466231576440751</v>
      </c>
      <c r="F27" s="34">
        <f t="shared" si="8"/>
        <v>9.4409352378160866E-2</v>
      </c>
      <c r="G27" s="34">
        <f t="shared" si="8"/>
        <v>0.1011804959434166</v>
      </c>
      <c r="H27" s="34">
        <f t="shared" si="8"/>
        <v>0.10799839866687597</v>
      </c>
      <c r="I27" s="34">
        <f t="shared" si="8"/>
        <v>0.11169862813793142</v>
      </c>
      <c r="J27" s="34">
        <f t="shared" si="8"/>
        <v>0.11338518742616652</v>
      </c>
    </row>
    <row r="28" spans="2:10" x14ac:dyDescent="0.2">
      <c r="B28" s="38" t="s">
        <v>302</v>
      </c>
      <c r="C28" s="13">
        <f>Historicals!C44-Historicals!C33</f>
        <v>20055</v>
      </c>
      <c r="D28" s="13">
        <f>Historicals!D44-Historicals!D33</f>
        <v>27514</v>
      </c>
      <c r="E28" s="13">
        <f>Historicals!E44-Historicals!E33</f>
        <v>20035</v>
      </c>
      <c r="F28" s="13">
        <f>Assumptions!F34</f>
        <v>18000</v>
      </c>
      <c r="G28" s="13">
        <f>Assumptions!G34</f>
        <v>16000</v>
      </c>
      <c r="H28" s="13">
        <f>Assumptions!H34</f>
        <v>15000</v>
      </c>
      <c r="I28" s="13">
        <f>Assumptions!I34</f>
        <v>15000</v>
      </c>
      <c r="J28" s="13">
        <f>Assumptions!J34</f>
        <v>16000</v>
      </c>
    </row>
    <row r="29" spans="2:10" x14ac:dyDescent="0.2">
      <c r="B29" s="44" t="s">
        <v>226</v>
      </c>
      <c r="C29" s="45">
        <f t="shared" ref="C29:J29" si="9">C26+C28</f>
        <v>607277</v>
      </c>
      <c r="D29" s="45">
        <f t="shared" si="9"/>
        <v>733608</v>
      </c>
      <c r="E29" s="45">
        <f t="shared" si="9"/>
        <v>526588</v>
      </c>
      <c r="F29" s="45">
        <f t="shared" si="9"/>
        <v>409846.66186866042</v>
      </c>
      <c r="G29" s="45">
        <f t="shared" si="9"/>
        <v>464214.18095919734</v>
      </c>
      <c r="H29" s="45">
        <f t="shared" si="9"/>
        <v>530229.27940027148</v>
      </c>
      <c r="I29" s="45">
        <f t="shared" si="9"/>
        <v>583270.32511454076</v>
      </c>
      <c r="J29" s="45">
        <f t="shared" si="9"/>
        <v>628570.26012479747</v>
      </c>
    </row>
    <row r="30" spans="2:10" x14ac:dyDescent="0.2">
      <c r="B30" s="38" t="s">
        <v>227</v>
      </c>
      <c r="C30" s="13">
        <f>Historicals!C45</f>
        <v>141912</v>
      </c>
      <c r="D30" s="13">
        <f>Historicals!D45</f>
        <v>169883</v>
      </c>
      <c r="E30" s="13">
        <f>Historicals!E45</f>
        <v>123647</v>
      </c>
      <c r="F30" s="13">
        <f>F29*Assumptions!$C$38/100</f>
        <v>96313.965539135213</v>
      </c>
      <c r="G30" s="13">
        <f>G29*Assumptions!$C$38/100</f>
        <v>109090.33252541137</v>
      </c>
      <c r="H30" s="13">
        <f>H29*Assumptions!$C$38/100</f>
        <v>124603.8806590638</v>
      </c>
      <c r="I30" s="13">
        <f>I29*Assumptions!$C$38/100</f>
        <v>137068.52640191707</v>
      </c>
      <c r="J30" s="13">
        <f>J29*Assumptions!$C$38/100</f>
        <v>147714.01112932741</v>
      </c>
    </row>
    <row r="31" spans="2:10" x14ac:dyDescent="0.2">
      <c r="B31" s="46" t="s">
        <v>303</v>
      </c>
      <c r="C31" s="16">
        <f t="shared" ref="C31:J31" si="10">C30/C29</f>
        <v>0.23368578095333761</v>
      </c>
      <c r="D31" s="16">
        <f t="shared" si="10"/>
        <v>0.23157190216028178</v>
      </c>
      <c r="E31" s="16">
        <f t="shared" si="10"/>
        <v>0.23480785737616505</v>
      </c>
      <c r="F31" s="16">
        <f t="shared" si="10"/>
        <v>0.23500000000000004</v>
      </c>
      <c r="G31" s="16">
        <f t="shared" si="10"/>
        <v>0.23499999999999999</v>
      </c>
      <c r="H31" s="16">
        <f t="shared" si="10"/>
        <v>0.23499999999999999</v>
      </c>
      <c r="I31" s="16">
        <f t="shared" si="10"/>
        <v>0.23499999999999999</v>
      </c>
      <c r="J31" s="16">
        <f t="shared" si="10"/>
        <v>0.23500000000000001</v>
      </c>
    </row>
    <row r="32" spans="2:10" x14ac:dyDescent="0.2">
      <c r="B32" s="44" t="s">
        <v>304</v>
      </c>
      <c r="C32" s="45">
        <f t="shared" ref="C32:J32" si="11">C29-C30</f>
        <v>465365</v>
      </c>
      <c r="D32" s="45">
        <f t="shared" si="11"/>
        <v>563725</v>
      </c>
      <c r="E32" s="45">
        <f t="shared" si="11"/>
        <v>402941</v>
      </c>
      <c r="F32" s="45">
        <f t="shared" si="11"/>
        <v>313532.69632952521</v>
      </c>
      <c r="G32" s="45">
        <f t="shared" si="11"/>
        <v>355123.84843378596</v>
      </c>
      <c r="H32" s="45">
        <f t="shared" si="11"/>
        <v>405625.39874120767</v>
      </c>
      <c r="I32" s="45">
        <f t="shared" si="11"/>
        <v>446201.79871262365</v>
      </c>
      <c r="J32" s="45">
        <f t="shared" si="11"/>
        <v>480856.24899547006</v>
      </c>
    </row>
    <row r="33" spans="2:12" x14ac:dyDescent="0.2">
      <c r="B33" s="46" t="s">
        <v>305</v>
      </c>
      <c r="C33" s="16">
        <f t="shared" ref="C33:J33" si="12">C32/C11</f>
        <v>0.11537492729642876</v>
      </c>
      <c r="D33" s="16">
        <f t="shared" si="12"/>
        <v>0.12514235226997761</v>
      </c>
      <c r="E33" s="16">
        <f t="shared" si="12"/>
        <v>9.1208912347624294E-2</v>
      </c>
      <c r="F33" s="16">
        <f t="shared" si="12"/>
        <v>7.5540821679299E-2</v>
      </c>
      <c r="G33" s="16">
        <f t="shared" si="12"/>
        <v>8.0166154111790955E-2</v>
      </c>
      <c r="H33" s="16">
        <f t="shared" si="12"/>
        <v>8.5024076220308831E-2</v>
      </c>
      <c r="I33" s="16">
        <f t="shared" si="12"/>
        <v>8.7704964672986732E-2</v>
      </c>
      <c r="J33" s="16">
        <f t="shared" si="12"/>
        <v>8.900526105574752E-2</v>
      </c>
    </row>
    <row r="34" spans="2:12" ht="6" customHeight="1" x14ac:dyDescent="0.2"/>
    <row r="35" spans="2:12" ht="15.5" customHeight="1" x14ac:dyDescent="0.2">
      <c r="B35" s="3" t="s">
        <v>306</v>
      </c>
      <c r="C35" s="3"/>
      <c r="D35" s="3"/>
      <c r="E35" s="3"/>
      <c r="F35" s="3"/>
      <c r="G35" s="3"/>
      <c r="H35" s="3"/>
      <c r="I35" s="3"/>
      <c r="J35" s="3"/>
    </row>
    <row r="36" spans="2:12" x14ac:dyDescent="0.2">
      <c r="B36" s="38" t="s">
        <v>229</v>
      </c>
      <c r="C36" s="13">
        <f>Historicals!C48</f>
        <v>28716</v>
      </c>
      <c r="D36" s="13">
        <f>Historicals!D48</f>
        <v>28600</v>
      </c>
      <c r="E36" s="13">
        <f>Historicals!E48</f>
        <v>27338</v>
      </c>
      <c r="F36" s="13">
        <f>E36-Assumptions!F47/Assumptions!F48+Assumptions!F49</f>
        <v>26254.666666666668</v>
      </c>
      <c r="G36" s="13">
        <f>F36-Assumptions!G47/Assumptions!G48+Assumptions!G49</f>
        <v>25255.598343685302</v>
      </c>
      <c r="H36" s="13">
        <f>G36-Assumptions!H47/Assumptions!H48+Assumptions!H49</f>
        <v>24342.379952880703</v>
      </c>
      <c r="I36" s="13">
        <f>H36-Assumptions!I47/Assumptions!I48+Assumptions!I49</f>
        <v>23503.07514004648</v>
      </c>
      <c r="J36" s="13">
        <f>I36-Assumptions!J47/Assumptions!J48+Assumptions!J49</f>
        <v>22728.07514004648</v>
      </c>
    </row>
    <row r="37" spans="2:12" x14ac:dyDescent="0.2">
      <c r="B37" s="44" t="s">
        <v>112</v>
      </c>
      <c r="C37" s="57">
        <f t="shared" ref="C37:J37" si="13">C32/C36</f>
        <v>16.205773784649672</v>
      </c>
      <c r="D37" s="57">
        <f t="shared" si="13"/>
        <v>19.710664335664337</v>
      </c>
      <c r="E37" s="57">
        <f t="shared" si="13"/>
        <v>14.739227448972127</v>
      </c>
      <c r="F37" s="57">
        <f t="shared" si="13"/>
        <v>11.941979698702143</v>
      </c>
      <c r="G37" s="57">
        <f t="shared" si="13"/>
        <v>14.061193229364852</v>
      </c>
      <c r="H37" s="57">
        <f t="shared" si="13"/>
        <v>16.663341855906143</v>
      </c>
      <c r="I37" s="57">
        <f t="shared" si="13"/>
        <v>18.984826285661157</v>
      </c>
      <c r="J37" s="57">
        <f t="shared" si="13"/>
        <v>21.156927985872837</v>
      </c>
    </row>
    <row r="38" spans="2:12" x14ac:dyDescent="0.2">
      <c r="B38" s="46" t="s">
        <v>291</v>
      </c>
      <c r="D38" s="16">
        <f t="shared" ref="D38:J38" si="14">D37/C37-1</f>
        <v>0.21627418706378254</v>
      </c>
      <c r="E38" s="16">
        <f t="shared" si="14"/>
        <v>-0.25222066603290116</v>
      </c>
      <c r="F38" s="16">
        <f t="shared" si="14"/>
        <v>-0.18978252150285235</v>
      </c>
      <c r="G38" s="16">
        <f t="shared" si="14"/>
        <v>0.17745914698657761</v>
      </c>
      <c r="H38" s="16">
        <f t="shared" si="14"/>
        <v>0.18505887687447919</v>
      </c>
      <c r="I38" s="16">
        <f t="shared" si="14"/>
        <v>0.1393168579166002</v>
      </c>
      <c r="J38" s="16">
        <f t="shared" si="14"/>
        <v>0.11441251384281692</v>
      </c>
    </row>
    <row r="39" spans="2:12" ht="6" customHeight="1" x14ac:dyDescent="0.2"/>
    <row r="40" spans="2:12" ht="15.5" customHeight="1" x14ac:dyDescent="0.2">
      <c r="B40" s="3" t="s">
        <v>307</v>
      </c>
      <c r="C40" s="3"/>
      <c r="D40" s="3"/>
      <c r="E40" s="3"/>
      <c r="F40" s="3"/>
      <c r="G40" s="3"/>
      <c r="H40" s="3"/>
      <c r="I40" s="3"/>
      <c r="J40" s="3"/>
    </row>
    <row r="41" spans="2:12" x14ac:dyDescent="0.2">
      <c r="B41" s="38" t="s">
        <v>203</v>
      </c>
      <c r="C41" s="13">
        <f>Historicals!C29</f>
        <v>176320</v>
      </c>
      <c r="D41" s="13">
        <f>Historicals!D29</f>
        <v>281099</v>
      </c>
      <c r="E41" s="13">
        <f>Historicals!E29</f>
        <v>278056</v>
      </c>
      <c r="F41" s="13">
        <f>F8-('Segment Build'!F8*'Segment Build'!F12+'Segment Build'!F28*(1-Assumptions!$C$36/100)*(1-Assumptions!$C$35/100)+Assumptions!F33*0.25)-(F20+(F8+F9)*Assumptions!F31/100)*F8/(F8+F9)</f>
        <v>215521.73696270402</v>
      </c>
      <c r="G41" s="13">
        <f>G8-('Segment Build'!G8*'Segment Build'!G12+'Segment Build'!G28*(1-Assumptions!$C$36/100)*(1-Assumptions!$C$35/100)+Assumptions!G33*0.25)-(G20+(G8+G9)*Assumptions!G31/100)*G8/(G8+G9)</f>
        <v>243407.18800394118</v>
      </c>
      <c r="H41" s="13">
        <f>H8-('Segment Build'!H8*'Segment Build'!H12+'Segment Build'!H28*(1-Assumptions!$C$36/100)*(1-Assumptions!$C$35/100)+Assumptions!H33*0.25)-(H20+(H8+H9)*Assumptions!H31/100)*H8/(H8+H9)</f>
        <v>271697.62017612823</v>
      </c>
      <c r="I41" s="13">
        <f>I8-('Segment Build'!I8*'Segment Build'!I12+'Segment Build'!I28*(1-Assumptions!$C$36/100)*(1-Assumptions!$C$35/100)+Assumptions!I33*0.25)-(I20+(I8+I9)*Assumptions!I31/100)*I8/(I8+I9)</f>
        <v>296340.77297969873</v>
      </c>
      <c r="J41" s="13">
        <f>J8-('Segment Build'!J8*'Segment Build'!J12+'Segment Build'!J28*(1-Assumptions!$C$36/100)*(1-Assumptions!$C$35/100)+Assumptions!J33*0.25)-(J20+(J8+J9)*Assumptions!J31/100)*J8/(J8+J9)</f>
        <v>317955.4800005561</v>
      </c>
    </row>
    <row r="42" spans="2:12" x14ac:dyDescent="0.2">
      <c r="B42" s="38" t="s">
        <v>205</v>
      </c>
      <c r="C42" s="13">
        <f>Historicals!C30</f>
        <v>440168</v>
      </c>
      <c r="D42" s="13">
        <f>Historicals!D30</f>
        <v>450598</v>
      </c>
      <c r="E42" s="13">
        <f>Historicals!E30</f>
        <v>249969</v>
      </c>
      <c r="F42" s="13">
        <f>F9-('Segment Build'!F18*'Segment Build'!F22+'Segment Build'!F28*Assumptions!$C$36/100*(1-Assumptions!$C$35/100)+Assumptions!F33*0.75)-(F20+(F8+F9)*Assumptions!F31/100)*F9/(F8+F9)</f>
        <v>199921.92988095677</v>
      </c>
      <c r="G42" s="13">
        <f>G9-('Segment Build'!G18*'Segment Build'!G22+'Segment Build'!G28*Assumptions!$C$36/100*(1-Assumptions!$C$35/100)+Assumptions!G33*0.75)-(G20+(G8+G9)*Assumptions!G31/100)*G9/(G8+G9)</f>
        <v>228433.84817900628</v>
      </c>
      <c r="H42" s="13">
        <f>H9-('Segment Build'!H18*'Segment Build'!H22+'Segment Build'!H28*Assumptions!$C$36/100*(1-Assumptions!$C$35/100)+Assumptions!H33*0.75)-(H20+(H8+H9)*Assumptions!H31/100)*H9/(H8+H9)</f>
        <v>267150.49148519989</v>
      </c>
      <c r="I42" s="13">
        <f>I9-('Segment Build'!I18*'Segment Build'!I22+'Segment Build'!I28*Assumptions!$C$36/100*(1-Assumptions!$C$35/100)+Assumptions!I33*0.75)-(I20+(I8+I9)*Assumptions!I31/100)*I9/(I8+I9)</f>
        <v>296088.73184764606</v>
      </c>
      <c r="J42" s="13">
        <f>J9-('Segment Build'!J18*'Segment Build'!J22+'Segment Build'!J28*Assumptions!$C$36/100*(1-Assumptions!$C$35/100)+Assumptions!J33*0.75)-(J20+(J8+J9)*Assumptions!J31/100)*J9/(J8+J9)</f>
        <v>319158.6229241215</v>
      </c>
    </row>
    <row r="43" spans="2:12" x14ac:dyDescent="0.2">
      <c r="B43" s="38" t="s">
        <v>206</v>
      </c>
      <c r="C43" s="13">
        <f>Historicals!C31</f>
        <v>48714</v>
      </c>
      <c r="D43" s="13">
        <f>Historicals!D31</f>
        <v>63380</v>
      </c>
      <c r="E43" s="13">
        <f>Historicals!E31</f>
        <v>68160</v>
      </c>
      <c r="F43" s="13">
        <f>F10*Assumptions!$C$37/100</f>
        <v>69402.995024999997</v>
      </c>
      <c r="G43" s="13">
        <f>G10*Assumptions!$C$37/100</f>
        <v>72873.144776249988</v>
      </c>
      <c r="H43" s="13">
        <f>H10*Assumptions!$C$37/100</f>
        <v>76881.167738943739</v>
      </c>
      <c r="I43" s="13">
        <f>I10*Assumptions!$C$37/100</f>
        <v>80340.820287196198</v>
      </c>
      <c r="J43" s="13">
        <f>J10*Assumptions!$C$37/100</f>
        <v>83956.15720012004</v>
      </c>
    </row>
    <row r="44" spans="2:12" x14ac:dyDescent="0.2">
      <c r="B44" s="38" t="s">
        <v>111</v>
      </c>
      <c r="C44" s="16">
        <f t="shared" ref="C44:J45" si="15">C41/C8</f>
        <v>0.11569986541491381</v>
      </c>
      <c r="D44" s="16">
        <f t="shared" si="15"/>
        <v>0.14794582984432211</v>
      </c>
      <c r="E44" s="16">
        <f t="shared" si="15"/>
        <v>0.14708401196112897</v>
      </c>
      <c r="F44" s="16">
        <f t="shared" si="15"/>
        <v>0.11972406877807083</v>
      </c>
      <c r="G44" s="16">
        <f t="shared" si="15"/>
        <v>0.12721807603578678</v>
      </c>
      <c r="H44" s="16">
        <f t="shared" si="15"/>
        <v>0.13286658281525809</v>
      </c>
      <c r="I44" s="16">
        <f t="shared" si="15"/>
        <v>0.13651701289427878</v>
      </c>
      <c r="J44" s="16">
        <f t="shared" si="15"/>
        <v>0.13852187666140811</v>
      </c>
    </row>
    <row r="45" spans="2:12" ht="26" x14ac:dyDescent="0.2">
      <c r="B45" s="38" t="s">
        <v>110</v>
      </c>
      <c r="C45" s="16">
        <f t="shared" si="15"/>
        <v>0.18220910449429364</v>
      </c>
      <c r="D45" s="16">
        <f t="shared" si="15"/>
        <v>0.18107569729120646</v>
      </c>
      <c r="E45" s="16">
        <f t="shared" si="15"/>
        <v>0.10407305002246175</v>
      </c>
      <c r="F45" s="16">
        <f t="shared" si="15"/>
        <v>8.9933064536696861E-2</v>
      </c>
      <c r="G45" s="16">
        <f t="shared" si="15"/>
        <v>9.5866663365228866E-2</v>
      </c>
      <c r="H45" s="16">
        <f t="shared" si="15"/>
        <v>0.10335620242556436</v>
      </c>
      <c r="I45" s="16">
        <f t="shared" si="15"/>
        <v>0.10691465399389022</v>
      </c>
      <c r="J45" s="16">
        <f t="shared" si="15"/>
        <v>0.10807334171346757</v>
      </c>
      <c r="L45" s="9" t="s">
        <v>308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5A7A"/>
  </sheetPr>
  <dimension ref="B2:L30"/>
  <sheetViews>
    <sheetView showGridLines="0" workbookViewId="0">
      <pane xSplit="2" ySplit="5" topLeftCell="C6" activePane="bottomRight" state="frozen"/>
      <selection pane="topRight"/>
      <selection pane="bottomLeft"/>
      <selection pane="bottomRight"/>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2" ht="21" customHeight="1" x14ac:dyDescent="0.25">
      <c r="B2" s="1" t="s">
        <v>309</v>
      </c>
    </row>
    <row r="3" spans="2:12" x14ac:dyDescent="0.2">
      <c r="B3" s="2" t="s">
        <v>310</v>
      </c>
    </row>
    <row r="5" spans="2:12" ht="18" customHeight="1" x14ac:dyDescent="0.2">
      <c r="B5" s="36" t="s">
        <v>190</v>
      </c>
      <c r="C5" s="37" t="s">
        <v>118</v>
      </c>
      <c r="D5" s="37" t="s">
        <v>101</v>
      </c>
      <c r="E5" s="37" t="s">
        <v>102</v>
      </c>
      <c r="F5" s="37" t="s">
        <v>103</v>
      </c>
      <c r="G5" s="37" t="s">
        <v>104</v>
      </c>
      <c r="H5" s="37" t="s">
        <v>105</v>
      </c>
      <c r="I5" s="37" t="s">
        <v>119</v>
      </c>
      <c r="J5" s="37" t="s">
        <v>120</v>
      </c>
    </row>
    <row r="6" spans="2:12" ht="6" customHeight="1" x14ac:dyDescent="0.2"/>
    <row r="7" spans="2:12" ht="15.5" customHeight="1" x14ac:dyDescent="0.2">
      <c r="B7" s="3" t="s">
        <v>311</v>
      </c>
      <c r="C7" s="3"/>
      <c r="D7" s="3"/>
      <c r="E7" s="3"/>
      <c r="F7" s="3"/>
      <c r="G7" s="3"/>
      <c r="H7" s="3"/>
      <c r="I7" s="3"/>
      <c r="J7" s="3"/>
    </row>
    <row r="8" spans="2:12" x14ac:dyDescent="0.2">
      <c r="B8" s="38" t="s">
        <v>232</v>
      </c>
      <c r="C8" s="51">
        <f>Historicals!C52</f>
        <v>733000</v>
      </c>
      <c r="D8" s="51">
        <f>Historicals!D52</f>
        <v>821600</v>
      </c>
      <c r="E8" s="51">
        <f>Historicals!E52</f>
        <v>689200</v>
      </c>
      <c r="F8" s="51">
        <f>CF!F27</f>
        <v>891313.55234418181</v>
      </c>
      <c r="G8" s="51">
        <f>CF!G27</f>
        <v>939998.66740180622</v>
      </c>
      <c r="H8" s="51">
        <f>CF!H27</f>
        <v>999584.07397963922</v>
      </c>
      <c r="I8" s="51">
        <f>CF!I27</f>
        <v>942929.89130368817</v>
      </c>
      <c r="J8" s="51">
        <f>CF!J27</f>
        <v>1074855.9185199277</v>
      </c>
    </row>
    <row r="9" spans="2:12" ht="26" x14ac:dyDescent="0.2">
      <c r="B9" s="38" t="s">
        <v>233</v>
      </c>
      <c r="C9" s="13">
        <f>Historicals!C53</f>
        <v>2797151</v>
      </c>
      <c r="D9" s="13">
        <f>Historicals!D53</f>
        <v>3091862</v>
      </c>
      <c r="E9" s="13">
        <f>Historicals!E53</f>
        <v>3383941</v>
      </c>
      <c r="F9" s="13">
        <f>'Segment Build'!F34/Assumptions!F41</f>
        <v>3352634.9042304582</v>
      </c>
      <c r="G9" s="13">
        <f>'Segment Build'!G34/Assumptions!G41</f>
        <v>3521422.4964563218</v>
      </c>
      <c r="H9" s="13">
        <f>'Segment Build'!H34/Assumptions!H41</f>
        <v>3733585.3622670015</v>
      </c>
      <c r="I9" s="13">
        <f>'Segment Build'!I34/Assumptions!I41</f>
        <v>3952093.9782010629</v>
      </c>
      <c r="J9" s="13">
        <f>'Segment Build'!J34/Assumptions!J41</f>
        <v>4165485.5919760712</v>
      </c>
      <c r="L9" s="9" t="s">
        <v>312</v>
      </c>
    </row>
    <row r="10" spans="2:12" x14ac:dyDescent="0.2">
      <c r="B10" s="38" t="s">
        <v>313</v>
      </c>
      <c r="C10" s="13">
        <f>Assumptions!$C$52</f>
        <v>70000</v>
      </c>
      <c r="D10" s="13">
        <f>Assumptions!$C$52</f>
        <v>70000</v>
      </c>
      <c r="E10" s="13">
        <f>Assumptions!$C$52</f>
        <v>70000</v>
      </c>
      <c r="F10" s="13">
        <f>E10+Assumptions!F44-Assumptions!F45</f>
        <v>61000</v>
      </c>
      <c r="G10" s="13">
        <f>F10+Assumptions!G44-Assumptions!G45</f>
        <v>51500</v>
      </c>
      <c r="H10" s="13">
        <f>G10+Assumptions!H44-Assumptions!H45</f>
        <v>41500</v>
      </c>
      <c r="I10" s="13">
        <f>H10+Assumptions!I44-Assumptions!I45</f>
        <v>31000</v>
      </c>
      <c r="J10" s="13">
        <f>I10+Assumptions!J44-Assumptions!J45</f>
        <v>20000</v>
      </c>
    </row>
    <row r="11" spans="2:12" x14ac:dyDescent="0.2">
      <c r="B11" s="38" t="s">
        <v>314</v>
      </c>
      <c r="C11" s="13">
        <f>Historicals!C54-C8-C9-C10</f>
        <v>422289</v>
      </c>
      <c r="D11" s="13">
        <f>Historicals!D54-D8-D9-D10</f>
        <v>566334</v>
      </c>
      <c r="E11" s="13">
        <f>Historicals!E54-E8-E9-E10</f>
        <v>633984</v>
      </c>
      <c r="F11" s="13">
        <f>IS!F11*Assumptions!F42/100</f>
        <v>593522.47670094657</v>
      </c>
      <c r="G11" s="13">
        <f>IS!G11*Assumptions!G42/100</f>
        <v>631253.28840455646</v>
      </c>
      <c r="H11" s="13">
        <f>IS!H11*Assumptions!H42/100</f>
        <v>677441.13410894608</v>
      </c>
      <c r="I11" s="13">
        <f>IS!I11*Assumptions!I42/100</f>
        <v>719885.75279915391</v>
      </c>
      <c r="J11" s="13">
        <f>IS!J11*Assumptions!J42/100</f>
        <v>761760.93754609616</v>
      </c>
    </row>
    <row r="12" spans="2:12" x14ac:dyDescent="0.2">
      <c r="B12" s="44" t="s">
        <v>315</v>
      </c>
      <c r="C12" s="45">
        <f t="shared" ref="C12:J12" si="0">SUM(C8:C11)</f>
        <v>4022440</v>
      </c>
      <c r="D12" s="45">
        <f t="shared" si="0"/>
        <v>4549796</v>
      </c>
      <c r="E12" s="45">
        <f t="shared" si="0"/>
        <v>4777125</v>
      </c>
      <c r="F12" s="45">
        <f t="shared" si="0"/>
        <v>4898470.9332755869</v>
      </c>
      <c r="G12" s="45">
        <f t="shared" si="0"/>
        <v>5144174.4522626847</v>
      </c>
      <c r="H12" s="45">
        <f t="shared" si="0"/>
        <v>5452110.5703555867</v>
      </c>
      <c r="I12" s="45">
        <f t="shared" si="0"/>
        <v>5645909.622303905</v>
      </c>
      <c r="J12" s="45">
        <f t="shared" si="0"/>
        <v>6022102.4480420947</v>
      </c>
    </row>
    <row r="13" spans="2:12" ht="6" customHeight="1" x14ac:dyDescent="0.2"/>
    <row r="14" spans="2:12" ht="15.5" customHeight="1" x14ac:dyDescent="0.2">
      <c r="B14" s="3" t="s">
        <v>316</v>
      </c>
      <c r="C14" s="3"/>
      <c r="D14" s="3"/>
      <c r="E14" s="3"/>
      <c r="F14" s="3"/>
      <c r="G14" s="3"/>
      <c r="H14" s="3"/>
      <c r="I14" s="3"/>
      <c r="J14" s="3"/>
    </row>
    <row r="15" spans="2:12" x14ac:dyDescent="0.2">
      <c r="B15" s="38" t="s">
        <v>317</v>
      </c>
      <c r="C15" s="51">
        <f>Historicals!C55</f>
        <v>693744</v>
      </c>
      <c r="D15" s="51">
        <f>Historicals!D55</f>
        <v>695022</v>
      </c>
      <c r="E15" s="51">
        <f>Historicals!E55</f>
        <v>696300</v>
      </c>
      <c r="F15" s="51">
        <f>Assumptions!F50</f>
        <v>696500</v>
      </c>
      <c r="G15" s="51">
        <f>Assumptions!G50</f>
        <v>696500</v>
      </c>
      <c r="H15" s="51">
        <f>Assumptions!H50</f>
        <v>696500</v>
      </c>
      <c r="I15" s="51">
        <f>Assumptions!I50</f>
        <v>550000</v>
      </c>
      <c r="J15" s="51">
        <f>Assumptions!J50</f>
        <v>550000</v>
      </c>
    </row>
    <row r="16" spans="2:12" x14ac:dyDescent="0.2">
      <c r="B16" s="38" t="s">
        <v>318</v>
      </c>
      <c r="C16" s="51">
        <f>Historicals!C56</f>
        <v>165844</v>
      </c>
      <c r="D16" s="51">
        <f>Historicals!D56</f>
        <v>286159</v>
      </c>
      <c r="E16" s="51">
        <f>Historicals!E56</f>
        <v>276856</v>
      </c>
      <c r="F16" s="51">
        <f>Assumptions!F51</f>
        <v>290000</v>
      </c>
      <c r="G16" s="51">
        <f>Assumptions!G51</f>
        <v>305000</v>
      </c>
      <c r="H16" s="51">
        <f>Assumptions!H51</f>
        <v>322000</v>
      </c>
      <c r="I16" s="51">
        <f>Assumptions!I51</f>
        <v>336000</v>
      </c>
      <c r="J16" s="51">
        <f>Assumptions!J51</f>
        <v>351000</v>
      </c>
    </row>
    <row r="17" spans="2:12" x14ac:dyDescent="0.2">
      <c r="B17" s="38" t="s">
        <v>319</v>
      </c>
      <c r="C17" s="13">
        <f>Historicals!C54-Historicals!C57-C15-C16</f>
        <v>645913</v>
      </c>
      <c r="D17" s="13">
        <f>Historicals!D54-Historicals!D57-D15-D16</f>
        <v>628938</v>
      </c>
      <c r="E17" s="13">
        <f>Historicals!E54-Historicals!E57-E15-E16</f>
        <v>637779</v>
      </c>
      <c r="F17" s="13">
        <f>IS!F11*Assumptions!F43/100</f>
        <v>599748.23694606137</v>
      </c>
      <c r="G17" s="13">
        <f>IS!G11*Assumptions!G43/100</f>
        <v>642327.90749937331</v>
      </c>
      <c r="H17" s="13">
        <f>IS!H11*Assumptions!H43/100</f>
        <v>694138.62685106799</v>
      </c>
      <c r="I17" s="13">
        <f>IS!I11*Assumptions!I43/100</f>
        <v>740235.88008676248</v>
      </c>
      <c r="J17" s="13">
        <f>IS!J11*Assumptions!J43/100</f>
        <v>786072.45682948234</v>
      </c>
    </row>
    <row r="18" spans="2:12" x14ac:dyDescent="0.2">
      <c r="B18" s="44" t="s">
        <v>320</v>
      </c>
      <c r="C18" s="45">
        <f t="shared" ref="C18:J18" si="1">SUM(C15:C17)</f>
        <v>1505501</v>
      </c>
      <c r="D18" s="45">
        <f t="shared" si="1"/>
        <v>1610119</v>
      </c>
      <c r="E18" s="45">
        <f t="shared" si="1"/>
        <v>1610935</v>
      </c>
      <c r="F18" s="45">
        <f t="shared" si="1"/>
        <v>1586248.2369460613</v>
      </c>
      <c r="G18" s="45">
        <f t="shared" si="1"/>
        <v>1643827.9074993734</v>
      </c>
      <c r="H18" s="45">
        <f t="shared" si="1"/>
        <v>1712638.6268510679</v>
      </c>
      <c r="I18" s="45">
        <f t="shared" si="1"/>
        <v>1626235.8800867624</v>
      </c>
      <c r="J18" s="45">
        <f t="shared" si="1"/>
        <v>1687072.4568294822</v>
      </c>
    </row>
    <row r="19" spans="2:12" x14ac:dyDescent="0.2">
      <c r="B19" s="49" t="s">
        <v>237</v>
      </c>
      <c r="C19" s="58">
        <f>Historicals!C57</f>
        <v>2516939</v>
      </c>
      <c r="D19" s="58">
        <f>Historicals!D57</f>
        <v>2939677</v>
      </c>
      <c r="E19" s="58">
        <f>Historicals!E57</f>
        <v>3166190</v>
      </c>
      <c r="F19" s="58">
        <f>E19+IS!F32+Assumptions!F46-Assumptions!F47</f>
        <v>3312222.6963295252</v>
      </c>
      <c r="G19" s="58">
        <f>F19+IS!G32+Assumptions!G46-Assumptions!G47</f>
        <v>3500346.5447633113</v>
      </c>
      <c r="H19" s="58">
        <f>G19+IS!H32+Assumptions!H46-Assumptions!H47</f>
        <v>3739471.9435045188</v>
      </c>
      <c r="I19" s="58">
        <f>H19+IS!I32+Assumptions!I46-Assumptions!I47</f>
        <v>4019673.7422171421</v>
      </c>
      <c r="J19" s="58">
        <f>I19+IS!J32+Assumptions!J46-Assumptions!J47</f>
        <v>4335029.991212612</v>
      </c>
    </row>
    <row r="20" spans="2:12" x14ac:dyDescent="0.2">
      <c r="B20" s="44" t="s">
        <v>321</v>
      </c>
      <c r="C20" s="45">
        <f t="shared" ref="C20:J20" si="2">C18+C19</f>
        <v>4022440</v>
      </c>
      <c r="D20" s="45">
        <f t="shared" si="2"/>
        <v>4549796</v>
      </c>
      <c r="E20" s="45">
        <f t="shared" si="2"/>
        <v>4777125</v>
      </c>
      <c r="F20" s="45">
        <f t="shared" si="2"/>
        <v>4898470.933275586</v>
      </c>
      <c r="G20" s="45">
        <f t="shared" si="2"/>
        <v>5144174.4522626847</v>
      </c>
      <c r="H20" s="45">
        <f t="shared" si="2"/>
        <v>5452110.5703555867</v>
      </c>
      <c r="I20" s="45">
        <f t="shared" si="2"/>
        <v>5645909.622303905</v>
      </c>
      <c r="J20" s="45">
        <f t="shared" si="2"/>
        <v>6022102.4480420947</v>
      </c>
    </row>
    <row r="21" spans="2:12" ht="26" x14ac:dyDescent="0.2">
      <c r="B21" s="49" t="s">
        <v>322</v>
      </c>
      <c r="C21" s="59">
        <f t="shared" ref="C21:J21" si="3">C12-C20</f>
        <v>0</v>
      </c>
      <c r="D21" s="59">
        <f t="shared" si="3"/>
        <v>0</v>
      </c>
      <c r="E21" s="59">
        <f t="shared" si="3"/>
        <v>0</v>
      </c>
      <c r="F21" s="59">
        <f t="shared" si="3"/>
        <v>0</v>
      </c>
      <c r="G21" s="59">
        <f t="shared" si="3"/>
        <v>0</v>
      </c>
      <c r="H21" s="59">
        <f t="shared" si="3"/>
        <v>0</v>
      </c>
      <c r="I21" s="59">
        <f t="shared" si="3"/>
        <v>0</v>
      </c>
      <c r="J21" s="59">
        <f t="shared" si="3"/>
        <v>0</v>
      </c>
      <c r="L21" s="9" t="s">
        <v>323</v>
      </c>
    </row>
    <row r="22" spans="2:12" ht="6" customHeight="1" x14ac:dyDescent="0.2"/>
    <row r="23" spans="2:12" ht="15.5" customHeight="1" x14ac:dyDescent="0.2">
      <c r="B23" s="3" t="s">
        <v>324</v>
      </c>
      <c r="C23" s="3"/>
      <c r="D23" s="3"/>
      <c r="E23" s="3"/>
      <c r="F23" s="3"/>
      <c r="G23" s="3"/>
      <c r="H23" s="3"/>
      <c r="I23" s="3"/>
      <c r="J23" s="3"/>
    </row>
    <row r="24" spans="2:12" x14ac:dyDescent="0.2">
      <c r="B24" s="38" t="s">
        <v>230</v>
      </c>
      <c r="C24" s="13">
        <f>Historicals!C49</f>
        <v>27600</v>
      </c>
      <c r="D24" s="13">
        <f>Historicals!D49</f>
        <v>27060</v>
      </c>
      <c r="E24" s="13">
        <f>Historicals!E49</f>
        <v>25763</v>
      </c>
      <c r="F24" s="13">
        <f>IS!F36-600</f>
        <v>25654.666666666668</v>
      </c>
      <c r="G24" s="13">
        <f>IS!G36-600</f>
        <v>24655.598343685302</v>
      </c>
      <c r="H24" s="13">
        <f>IS!H36-600</f>
        <v>23742.379952880703</v>
      </c>
      <c r="I24" s="13">
        <f>IS!I36-600</f>
        <v>22903.07514004648</v>
      </c>
      <c r="J24" s="13">
        <f>IS!J36-600</f>
        <v>22128.07514004648</v>
      </c>
    </row>
    <row r="25" spans="2:12" x14ac:dyDescent="0.2">
      <c r="B25" s="44" t="s">
        <v>113</v>
      </c>
      <c r="C25" s="57">
        <f t="shared" ref="C25:J25" si="4">C19/C24</f>
        <v>91.193442028985501</v>
      </c>
      <c r="D25" s="57">
        <f t="shared" si="4"/>
        <v>108.63551367331856</v>
      </c>
      <c r="E25" s="57">
        <f t="shared" si="4"/>
        <v>122.89678997011218</v>
      </c>
      <c r="F25" s="57">
        <f t="shared" si="4"/>
        <v>129.10799970101053</v>
      </c>
      <c r="G25" s="57">
        <f t="shared" si="4"/>
        <v>141.96964502627074</v>
      </c>
      <c r="H25" s="57">
        <f t="shared" si="4"/>
        <v>157.50198383337735</v>
      </c>
      <c r="I25" s="57">
        <f t="shared" si="4"/>
        <v>175.5080362631594</v>
      </c>
      <c r="J25" s="57">
        <f t="shared" si="4"/>
        <v>195.90633002539172</v>
      </c>
    </row>
    <row r="26" spans="2:12" x14ac:dyDescent="0.2">
      <c r="B26" s="38" t="s">
        <v>325</v>
      </c>
      <c r="C26" s="50">
        <f t="shared" ref="C26:J26" si="5">(C19-16100)/C24</f>
        <v>90.610108695652173</v>
      </c>
      <c r="D26" s="50">
        <f t="shared" si="5"/>
        <v>108.04053954175906</v>
      </c>
      <c r="E26" s="50">
        <f t="shared" si="5"/>
        <v>122.27186274890347</v>
      </c>
      <c r="F26" s="50">
        <f t="shared" si="5"/>
        <v>128.48043356619425</v>
      </c>
      <c r="G26" s="50">
        <f t="shared" si="5"/>
        <v>141.3166493140769</v>
      </c>
      <c r="H26" s="50">
        <f t="shared" si="5"/>
        <v>156.82387152821028</v>
      </c>
      <c r="I26" s="50">
        <f t="shared" si="5"/>
        <v>174.80507389231826</v>
      </c>
      <c r="J26" s="50">
        <f t="shared" si="5"/>
        <v>195.17874753581211</v>
      </c>
      <c r="L26" s="9" t="s">
        <v>326</v>
      </c>
    </row>
    <row r="27" spans="2:12" ht="26" x14ac:dyDescent="0.2">
      <c r="B27" s="38" t="s">
        <v>327</v>
      </c>
      <c r="C27" s="13">
        <f t="shared" ref="C27:J27" si="6">C15-C8</f>
        <v>-39256</v>
      </c>
      <c r="D27" s="13">
        <f t="shared" si="6"/>
        <v>-126578</v>
      </c>
      <c r="E27" s="13">
        <f t="shared" si="6"/>
        <v>7100</v>
      </c>
      <c r="F27" s="13">
        <f t="shared" si="6"/>
        <v>-194813.55234418181</v>
      </c>
      <c r="G27" s="13">
        <f t="shared" si="6"/>
        <v>-243498.66740180622</v>
      </c>
      <c r="H27" s="13">
        <f t="shared" si="6"/>
        <v>-303084.07397963922</v>
      </c>
      <c r="I27" s="13">
        <f t="shared" si="6"/>
        <v>-392929.89130368817</v>
      </c>
      <c r="J27" s="13">
        <f t="shared" si="6"/>
        <v>-524855.91851992765</v>
      </c>
      <c r="L27" s="9" t="s">
        <v>328</v>
      </c>
    </row>
    <row r="28" spans="2:12" x14ac:dyDescent="0.2">
      <c r="B28" s="38" t="s">
        <v>329</v>
      </c>
      <c r="C28" s="16">
        <f t="shared" ref="C28:J28" si="7">C15/(C15+C19)</f>
        <v>0.21607365161867428</v>
      </c>
      <c r="D28" s="16">
        <f t="shared" si="7"/>
        <v>0.19121858508778855</v>
      </c>
      <c r="E28" s="16">
        <f t="shared" si="7"/>
        <v>0.18027231138462493</v>
      </c>
      <c r="F28" s="16">
        <f t="shared" si="7"/>
        <v>0.17374611634716733</v>
      </c>
      <c r="G28" s="16">
        <f t="shared" si="7"/>
        <v>0.1659579383165844</v>
      </c>
      <c r="H28" s="16">
        <f t="shared" si="7"/>
        <v>0.15701181361614952</v>
      </c>
      <c r="I28" s="16">
        <f t="shared" si="7"/>
        <v>0.12035870196132376</v>
      </c>
      <c r="J28" s="16">
        <f t="shared" si="7"/>
        <v>0.11258886864346014</v>
      </c>
    </row>
    <row r="29" spans="2:12" x14ac:dyDescent="0.2">
      <c r="B29" s="49" t="s">
        <v>114</v>
      </c>
      <c r="C29" s="34">
        <f>IS!C32/C19</f>
        <v>0.18489323738080263</v>
      </c>
      <c r="D29" s="34">
        <f>IS!D32/D19</f>
        <v>0.1917642652577137</v>
      </c>
      <c r="E29" s="34">
        <f>IS!E32/E19</f>
        <v>0.12726368284910256</v>
      </c>
      <c r="F29" s="34">
        <f>IS!F32/F19</f>
        <v>9.4659304362888941E-2</v>
      </c>
      <c r="G29" s="34">
        <f>IS!G32/G19</f>
        <v>0.10145391146058624</v>
      </c>
      <c r="H29" s="34">
        <f>IS!H32/H19</f>
        <v>0.10847130420266449</v>
      </c>
      <c r="I29" s="34">
        <f>IS!I32/I19</f>
        <v>0.11100448129069075</v>
      </c>
      <c r="J29" s="34">
        <f>IS!J32/J19</f>
        <v>0.1109233961403259</v>
      </c>
      <c r="L29" s="9" t="s">
        <v>330</v>
      </c>
    </row>
    <row r="30" spans="2:12" x14ac:dyDescent="0.2">
      <c r="B30" s="38" t="s">
        <v>331</v>
      </c>
      <c r="C30" s="60">
        <f>'Segment Build'!C34/C9</f>
        <v>1.4084591786428404</v>
      </c>
      <c r="D30" s="60">
        <f>'Segment Build'!D34/D9</f>
        <v>1.4193595962562366</v>
      </c>
      <c r="E30" s="60">
        <f>'Segment Build'!E34/E9</f>
        <v>1.2684375998281294</v>
      </c>
      <c r="F30" s="60">
        <f>'Segment Build'!F34/F9</f>
        <v>1.2</v>
      </c>
      <c r="G30" s="60">
        <f>'Segment Build'!G34/G9</f>
        <v>1.22</v>
      </c>
      <c r="H30" s="60">
        <f>'Segment Build'!H34/H9</f>
        <v>1.24</v>
      </c>
      <c r="I30" s="60">
        <f>'Segment Build'!I34/I9</f>
        <v>1.25</v>
      </c>
      <c r="J30" s="60">
        <f>'Segment Build'!J34/J9</f>
        <v>1.26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5A7A"/>
  </sheetPr>
  <dimension ref="B2:L31"/>
  <sheetViews>
    <sheetView showGridLines="0" workbookViewId="0">
      <pane xSplit="2" ySplit="5" topLeftCell="C6" activePane="bottomRight" state="frozen"/>
      <selection pane="topRight"/>
      <selection pane="bottomLeft"/>
      <selection pane="bottomRight"/>
    </sheetView>
  </sheetViews>
  <sheetFormatPr baseColWidth="10" defaultColWidth="8.83203125" defaultRowHeight="15" x14ac:dyDescent="0.2"/>
  <cols>
    <col min="1" max="1" width="2.1640625" customWidth="1"/>
    <col min="2" max="2" width="44" customWidth="1"/>
    <col min="3" max="10" width="12.6640625" customWidth="1"/>
    <col min="11" max="11" width="2.1640625" customWidth="1"/>
    <col min="12" max="12" width="62" customWidth="1"/>
  </cols>
  <sheetData>
    <row r="2" spans="2:12" ht="21" customHeight="1" x14ac:dyDescent="0.25">
      <c r="B2" s="1" t="s">
        <v>332</v>
      </c>
    </row>
    <row r="3" spans="2:12" x14ac:dyDescent="0.2">
      <c r="B3" s="2" t="s">
        <v>333</v>
      </c>
    </row>
    <row r="5" spans="2:12" ht="18" customHeight="1" x14ac:dyDescent="0.2">
      <c r="B5" s="36" t="s">
        <v>190</v>
      </c>
      <c r="C5" s="37" t="s">
        <v>118</v>
      </c>
      <c r="D5" s="37" t="s">
        <v>101</v>
      </c>
      <c r="E5" s="37" t="s">
        <v>102</v>
      </c>
      <c r="F5" s="37" t="s">
        <v>103</v>
      </c>
      <c r="G5" s="37" t="s">
        <v>104</v>
      </c>
      <c r="H5" s="37" t="s">
        <v>105</v>
      </c>
      <c r="I5" s="37" t="s">
        <v>119</v>
      </c>
      <c r="J5" s="37" t="s">
        <v>120</v>
      </c>
    </row>
    <row r="6" spans="2:12" ht="6" customHeight="1" x14ac:dyDescent="0.2"/>
    <row r="7" spans="2:12" ht="15.5" customHeight="1" x14ac:dyDescent="0.2">
      <c r="B7" s="3" t="s">
        <v>334</v>
      </c>
      <c r="C7" s="3"/>
      <c r="D7" s="3"/>
      <c r="E7" s="3"/>
      <c r="F7" s="3"/>
      <c r="G7" s="3"/>
      <c r="H7" s="3"/>
      <c r="I7" s="3"/>
      <c r="J7" s="3"/>
    </row>
    <row r="8" spans="2:12" x14ac:dyDescent="0.2">
      <c r="B8" s="38" t="s">
        <v>228</v>
      </c>
      <c r="C8" s="51">
        <f>IS!C32</f>
        <v>465365</v>
      </c>
      <c r="D8" s="51">
        <f>IS!D32</f>
        <v>563725</v>
      </c>
      <c r="E8" s="51">
        <f>IS!E32</f>
        <v>402941</v>
      </c>
      <c r="F8" s="51">
        <f>IS!F32</f>
        <v>313532.69632952521</v>
      </c>
      <c r="G8" s="51">
        <f>IS!G32</f>
        <v>355123.84843378596</v>
      </c>
      <c r="H8" s="51">
        <f>IS!H32</f>
        <v>405625.39874120767</v>
      </c>
      <c r="I8" s="51">
        <f>IS!I32</f>
        <v>446201.79871262365</v>
      </c>
      <c r="J8" s="51">
        <f>IS!J32</f>
        <v>480856.24899547006</v>
      </c>
    </row>
    <row r="9" spans="2:12" x14ac:dyDescent="0.2">
      <c r="B9" s="38" t="s">
        <v>335</v>
      </c>
      <c r="C9" s="13">
        <f>Historicals!C59</f>
        <v>15791</v>
      </c>
      <c r="D9" s="13">
        <f>Historicals!D59</f>
        <v>17386</v>
      </c>
      <c r="E9" s="13">
        <f>Historicals!E59</f>
        <v>18898</v>
      </c>
      <c r="F9" s="13">
        <f>Assumptions!F45</f>
        <v>20000</v>
      </c>
      <c r="G9" s="13">
        <f>Assumptions!G45</f>
        <v>21000</v>
      </c>
      <c r="H9" s="13">
        <f>Assumptions!H45</f>
        <v>22000</v>
      </c>
      <c r="I9" s="13">
        <f>Assumptions!I45</f>
        <v>23000</v>
      </c>
      <c r="J9" s="13">
        <f>Assumptions!J45</f>
        <v>24000</v>
      </c>
    </row>
    <row r="10" spans="2:12" x14ac:dyDescent="0.2">
      <c r="B10" s="38" t="s">
        <v>240</v>
      </c>
      <c r="C10" s="13">
        <f>Historicals!C60</f>
        <v>11370</v>
      </c>
      <c r="D10" s="13">
        <f>Historicals!D60</f>
        <v>14564</v>
      </c>
      <c r="E10" s="13">
        <f>Historicals!E60</f>
        <v>16998</v>
      </c>
      <c r="F10" s="13">
        <f>Assumptions!F46</f>
        <v>17500</v>
      </c>
      <c r="G10" s="13">
        <f>Assumptions!G46</f>
        <v>18000</v>
      </c>
      <c r="H10" s="13">
        <f>Assumptions!H46</f>
        <v>18500</v>
      </c>
      <c r="I10" s="13">
        <f>Assumptions!I46</f>
        <v>19000</v>
      </c>
      <c r="J10" s="13">
        <f>Assumptions!J46</f>
        <v>19500</v>
      </c>
    </row>
    <row r="11" spans="2:12" x14ac:dyDescent="0.2">
      <c r="B11" s="38" t="s">
        <v>336</v>
      </c>
      <c r="F11" s="13">
        <f>-(BS!F9-BS!E9)</f>
        <v>31306.095769541804</v>
      </c>
      <c r="G11" s="13">
        <f>-(BS!G9-BS!F9)</f>
        <v>-168787.5922258636</v>
      </c>
      <c r="H11" s="13">
        <f>-(BS!H9-BS!G9)</f>
        <v>-212162.86581067974</v>
      </c>
      <c r="I11" s="13">
        <f>-(BS!I9-BS!H9)</f>
        <v>-218508.61593406135</v>
      </c>
      <c r="J11" s="13">
        <f>-(BS!J9-BS!I9)</f>
        <v>-213391.61377500836</v>
      </c>
      <c r="L11" s="9" t="s">
        <v>337</v>
      </c>
    </row>
    <row r="12" spans="2:12" x14ac:dyDescent="0.2">
      <c r="B12" s="38" t="s">
        <v>338</v>
      </c>
      <c r="F12" s="13">
        <f>-(BS!F11-BS!E11)</f>
        <v>40461.523299053428</v>
      </c>
      <c r="G12" s="13">
        <f>-(BS!G11-BS!F11)</f>
        <v>-37730.811703609885</v>
      </c>
      <c r="H12" s="13">
        <f>-(BS!H11-BS!G11)</f>
        <v>-46187.84570438962</v>
      </c>
      <c r="I12" s="13">
        <f>-(BS!I11-BS!H11)</f>
        <v>-42444.618690207833</v>
      </c>
      <c r="J12" s="13">
        <f>-(BS!J11-BS!I11)</f>
        <v>-41875.18474694225</v>
      </c>
    </row>
    <row r="13" spans="2:12" x14ac:dyDescent="0.2">
      <c r="B13" s="38" t="s">
        <v>339</v>
      </c>
      <c r="F13" s="13">
        <f>BS!F17-BS!E17</f>
        <v>-38030.76305393863</v>
      </c>
      <c r="G13" s="13">
        <f>BS!G17-BS!F17</f>
        <v>42579.670553311938</v>
      </c>
      <c r="H13" s="13">
        <f>BS!H17-BS!G17</f>
        <v>51810.719351694686</v>
      </c>
      <c r="I13" s="13">
        <f>BS!I17-BS!H17</f>
        <v>46097.253235694487</v>
      </c>
      <c r="J13" s="13">
        <f>BS!J17-BS!I17</f>
        <v>45836.576742719859</v>
      </c>
    </row>
    <row r="14" spans="2:12" x14ac:dyDescent="0.2">
      <c r="B14" s="44" t="s">
        <v>340</v>
      </c>
      <c r="C14" s="45">
        <f>Historicals!C58</f>
        <v>552131</v>
      </c>
      <c r="D14" s="45">
        <f>Historicals!D58</f>
        <v>179736</v>
      </c>
      <c r="E14" s="45">
        <f>Historicals!E58</f>
        <v>137349</v>
      </c>
      <c r="F14" s="45">
        <f>SUM(F8:F13)</f>
        <v>384769.55234418181</v>
      </c>
      <c r="G14" s="45">
        <f>SUM(G8:G13)</f>
        <v>230185.11505762441</v>
      </c>
      <c r="H14" s="45">
        <f>SUM(H8:H13)</f>
        <v>239585.406577833</v>
      </c>
      <c r="I14" s="45">
        <f>SUM(I8:I13)</f>
        <v>273345.81732404896</v>
      </c>
      <c r="J14" s="45">
        <f>SUM(J8:J13)</f>
        <v>314926.02721623937</v>
      </c>
    </row>
    <row r="15" spans="2:12" ht="6" customHeight="1" x14ac:dyDescent="0.2"/>
    <row r="16" spans="2:12" ht="15.5" customHeight="1" x14ac:dyDescent="0.2">
      <c r="B16" s="3" t="s">
        <v>341</v>
      </c>
      <c r="C16" s="3"/>
      <c r="D16" s="3"/>
      <c r="E16" s="3"/>
      <c r="F16" s="3"/>
      <c r="G16" s="3"/>
      <c r="H16" s="3"/>
      <c r="I16" s="3"/>
      <c r="J16" s="3"/>
    </row>
    <row r="17" spans="2:12" x14ac:dyDescent="0.2">
      <c r="B17" s="38" t="s">
        <v>241</v>
      </c>
      <c r="C17" s="13">
        <f>-Historicals!C61</f>
        <v>-5769</v>
      </c>
      <c r="D17" s="13">
        <f>-Historicals!D61</f>
        <v>-8417</v>
      </c>
      <c r="E17" s="13">
        <f>-Historicals!E61</f>
        <v>-9609</v>
      </c>
      <c r="F17" s="13">
        <f>-Assumptions!F44</f>
        <v>-11000</v>
      </c>
      <c r="G17" s="13">
        <f>-Assumptions!G44</f>
        <v>-11500</v>
      </c>
      <c r="H17" s="13">
        <f>-Assumptions!H44</f>
        <v>-12000</v>
      </c>
      <c r="I17" s="13">
        <f>-Assumptions!I44</f>
        <v>-12500</v>
      </c>
      <c r="J17" s="13">
        <f>-Assumptions!J44</f>
        <v>-13000</v>
      </c>
    </row>
    <row r="18" spans="2:12" x14ac:dyDescent="0.2">
      <c r="B18" s="44" t="s">
        <v>342</v>
      </c>
      <c r="C18" s="45">
        <f t="shared" ref="C18:J18" si="0">C17</f>
        <v>-5769</v>
      </c>
      <c r="D18" s="45">
        <f t="shared" si="0"/>
        <v>-8417</v>
      </c>
      <c r="E18" s="45">
        <f t="shared" si="0"/>
        <v>-9609</v>
      </c>
      <c r="F18" s="45">
        <f t="shared" si="0"/>
        <v>-11000</v>
      </c>
      <c r="G18" s="45">
        <f t="shared" si="0"/>
        <v>-11500</v>
      </c>
      <c r="H18" s="45">
        <f t="shared" si="0"/>
        <v>-12000</v>
      </c>
      <c r="I18" s="45">
        <f t="shared" si="0"/>
        <v>-12500</v>
      </c>
      <c r="J18" s="45">
        <f t="shared" si="0"/>
        <v>-13000</v>
      </c>
    </row>
    <row r="19" spans="2:12" ht="6" customHeight="1" x14ac:dyDescent="0.2"/>
    <row r="20" spans="2:12" ht="15.5" customHeight="1" x14ac:dyDescent="0.2">
      <c r="B20" s="3" t="s">
        <v>343</v>
      </c>
      <c r="C20" s="3"/>
      <c r="D20" s="3"/>
      <c r="E20" s="3"/>
      <c r="F20" s="3"/>
      <c r="G20" s="3"/>
      <c r="H20" s="3"/>
      <c r="I20" s="3"/>
      <c r="J20" s="3"/>
    </row>
    <row r="21" spans="2:12" x14ac:dyDescent="0.2">
      <c r="B21" s="38" t="s">
        <v>344</v>
      </c>
      <c r="F21" s="13">
        <f>(BS!F15+BS!F16)-(BS!E15+BS!E16)</f>
        <v>13344</v>
      </c>
      <c r="G21" s="13">
        <f>(BS!G15+BS!G16)-(BS!F15+BS!F16)</f>
        <v>15000</v>
      </c>
      <c r="H21" s="13">
        <f>(BS!H15+BS!H16)-(BS!G15+BS!G16)</f>
        <v>17000</v>
      </c>
      <c r="I21" s="13">
        <f>(BS!I15+BS!I16)-(BS!H15+BS!H16)</f>
        <v>-132500</v>
      </c>
      <c r="J21" s="13">
        <f>(BS!J15+BS!J16)-(BS!I15+BS!I16)</f>
        <v>15000</v>
      </c>
    </row>
    <row r="22" spans="2:12" ht="26" x14ac:dyDescent="0.2">
      <c r="B22" s="38" t="s">
        <v>242</v>
      </c>
      <c r="C22" s="13">
        <f>-Historicals!C62</f>
        <v>-65344</v>
      </c>
      <c r="D22" s="13">
        <f>-Historicals!D62</f>
        <v>-176953</v>
      </c>
      <c r="E22" s="13">
        <f>-Historicals!E62</f>
        <v>-202033</v>
      </c>
      <c r="F22" s="13">
        <f>-Assumptions!F47</f>
        <v>-185000</v>
      </c>
      <c r="G22" s="13">
        <f>-Assumptions!G47</f>
        <v>-185000</v>
      </c>
      <c r="H22" s="13">
        <f>-Assumptions!H47</f>
        <v>-185000</v>
      </c>
      <c r="I22" s="13">
        <f>-Assumptions!I47</f>
        <v>-185000</v>
      </c>
      <c r="J22" s="13">
        <f>-Assumptions!J47</f>
        <v>-185000</v>
      </c>
      <c r="L22" s="9" t="s">
        <v>345</v>
      </c>
    </row>
    <row r="23" spans="2:12" x14ac:dyDescent="0.2">
      <c r="B23" s="44" t="s">
        <v>346</v>
      </c>
      <c r="C23" s="19"/>
      <c r="D23" s="19"/>
      <c r="E23" s="19"/>
      <c r="F23" s="45">
        <f>F21+F22</f>
        <v>-171656</v>
      </c>
      <c r="G23" s="45">
        <f>G21+G22</f>
        <v>-170000</v>
      </c>
      <c r="H23" s="45">
        <f>H21+H22</f>
        <v>-168000</v>
      </c>
      <c r="I23" s="45">
        <f>I21+I22</f>
        <v>-317500</v>
      </c>
      <c r="J23" s="45">
        <f>J21+J22</f>
        <v>-170000</v>
      </c>
    </row>
    <row r="24" spans="2:12" ht="6" customHeight="1" x14ac:dyDescent="0.2"/>
    <row r="25" spans="2:12" x14ac:dyDescent="0.2">
      <c r="B25" s="44" t="s">
        <v>347</v>
      </c>
      <c r="C25" s="19"/>
      <c r="D25" s="19"/>
      <c r="E25" s="19"/>
      <c r="F25" s="45">
        <f>F14+F18+F23</f>
        <v>202113.55234418181</v>
      </c>
      <c r="G25" s="45">
        <f>G14+G18+G23</f>
        <v>48685.115057624411</v>
      </c>
      <c r="H25" s="45">
        <f>H14+H18+H23</f>
        <v>59585.406577832997</v>
      </c>
      <c r="I25" s="45">
        <f>I14+I18+I23</f>
        <v>-56654.182675951044</v>
      </c>
      <c r="J25" s="45">
        <f>J14+J18+J23</f>
        <v>131926.02721623937</v>
      </c>
    </row>
    <row r="26" spans="2:12" x14ac:dyDescent="0.2">
      <c r="B26" s="38" t="s">
        <v>348</v>
      </c>
      <c r="F26" s="13">
        <f>Historicals!E52</f>
        <v>689200</v>
      </c>
      <c r="G26" s="13">
        <f>F27</f>
        <v>891313.55234418181</v>
      </c>
      <c r="H26" s="13">
        <f>G27</f>
        <v>939998.66740180622</v>
      </c>
      <c r="I26" s="13">
        <f>H27</f>
        <v>999584.07397963922</v>
      </c>
      <c r="J26" s="13">
        <f>I27</f>
        <v>942929.89130368817</v>
      </c>
    </row>
    <row r="27" spans="2:12" x14ac:dyDescent="0.2">
      <c r="B27" s="44" t="s">
        <v>349</v>
      </c>
      <c r="C27" s="45">
        <f>Historicals!C52</f>
        <v>733000</v>
      </c>
      <c r="D27" s="45">
        <f>Historicals!D52</f>
        <v>821600</v>
      </c>
      <c r="E27" s="45">
        <f>Historicals!E52</f>
        <v>689200</v>
      </c>
      <c r="F27" s="45">
        <f>F26+F25</f>
        <v>891313.55234418181</v>
      </c>
      <c r="G27" s="45">
        <f>G26+G25</f>
        <v>939998.66740180622</v>
      </c>
      <c r="H27" s="45">
        <f>H26+H25</f>
        <v>999584.07397963922</v>
      </c>
      <c r="I27" s="45">
        <f>I26+I25</f>
        <v>942929.89130368817</v>
      </c>
      <c r="J27" s="45">
        <f>J26+J25</f>
        <v>1074855.9185199277</v>
      </c>
    </row>
    <row r="28" spans="2:12" ht="6" customHeight="1" x14ac:dyDescent="0.2"/>
    <row r="29" spans="2:12" ht="15.5" customHeight="1" x14ac:dyDescent="0.2">
      <c r="B29" s="3" t="s">
        <v>350</v>
      </c>
      <c r="C29" s="3"/>
      <c r="D29" s="3"/>
      <c r="E29" s="3"/>
      <c r="F29" s="3"/>
      <c r="G29" s="3"/>
      <c r="H29" s="3"/>
      <c r="I29" s="3"/>
      <c r="J29" s="3"/>
    </row>
    <row r="30" spans="2:12" x14ac:dyDescent="0.2">
      <c r="B30" s="49" t="s">
        <v>351</v>
      </c>
      <c r="C30" s="58">
        <f t="shared" ref="C30:J30" si="1">C14+C18</f>
        <v>546362</v>
      </c>
      <c r="D30" s="58">
        <f t="shared" si="1"/>
        <v>171319</v>
      </c>
      <c r="E30" s="58">
        <f t="shared" si="1"/>
        <v>127740</v>
      </c>
      <c r="F30" s="58">
        <f t="shared" si="1"/>
        <v>373769.55234418181</v>
      </c>
      <c r="G30" s="58">
        <f t="shared" si="1"/>
        <v>218685.11505762441</v>
      </c>
      <c r="H30" s="58">
        <f t="shared" si="1"/>
        <v>227585.406577833</v>
      </c>
      <c r="I30" s="58">
        <f t="shared" si="1"/>
        <v>260845.81732404896</v>
      </c>
      <c r="J30" s="58">
        <f t="shared" si="1"/>
        <v>301926.02721623937</v>
      </c>
    </row>
    <row r="31" spans="2:12" ht="26" x14ac:dyDescent="0.2">
      <c r="B31" s="46" t="s">
        <v>352</v>
      </c>
      <c r="C31" s="16">
        <f t="shared" ref="C31:J31" si="2">C30/C8</f>
        <v>1.1740504765076876</v>
      </c>
      <c r="D31" s="16">
        <f t="shared" si="2"/>
        <v>0.30390527296110692</v>
      </c>
      <c r="E31" s="16">
        <f t="shared" si="2"/>
        <v>0.31701911694267898</v>
      </c>
      <c r="F31" s="16">
        <f t="shared" si="2"/>
        <v>1.1921230440073376</v>
      </c>
      <c r="G31" s="16">
        <f t="shared" si="2"/>
        <v>0.6157995753371629</v>
      </c>
      <c r="H31" s="16">
        <f t="shared" si="2"/>
        <v>0.561072869904368</v>
      </c>
      <c r="I31" s="16">
        <f t="shared" si="2"/>
        <v>0.58459158631058483</v>
      </c>
      <c r="J31" s="16">
        <f t="shared" si="2"/>
        <v>0.6278924893811324</v>
      </c>
      <c r="L31" s="9" t="s">
        <v>353</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A5C2E"/>
  </sheetPr>
  <dimension ref="B2:L53"/>
  <sheetViews>
    <sheetView showGridLines="0" workbookViewId="0">
      <pane xSplit="2" ySplit="5" topLeftCell="C23" activePane="bottomRight" state="frozen"/>
      <selection pane="topRight"/>
      <selection pane="bottomLeft"/>
      <selection pane="bottomRight"/>
    </sheetView>
  </sheetViews>
  <sheetFormatPr baseColWidth="10" defaultColWidth="8.83203125" defaultRowHeight="15" x14ac:dyDescent="0.2"/>
  <cols>
    <col min="1" max="1" width="2.1640625" customWidth="1"/>
    <col min="2" max="2" width="46" customWidth="1"/>
    <col min="3" max="10" width="12.6640625" customWidth="1"/>
    <col min="11" max="11" width="2.1640625" customWidth="1"/>
    <col min="12" max="12" width="62" customWidth="1"/>
  </cols>
  <sheetData>
    <row r="2" spans="2:12" ht="21" customHeight="1" x14ac:dyDescent="0.25">
      <c r="B2" s="1" t="s">
        <v>354</v>
      </c>
    </row>
    <row r="3" spans="2:12" x14ac:dyDescent="0.2">
      <c r="B3" s="2" t="s">
        <v>355</v>
      </c>
    </row>
    <row r="5" spans="2:12" ht="15.5" customHeight="1" x14ac:dyDescent="0.2">
      <c r="B5" s="3" t="s">
        <v>356</v>
      </c>
      <c r="C5" s="3"/>
      <c r="D5" s="3"/>
      <c r="E5" s="3"/>
      <c r="F5" s="3"/>
      <c r="G5" s="3"/>
      <c r="H5" s="3"/>
      <c r="I5" s="3"/>
      <c r="J5" s="3"/>
    </row>
    <row r="6" spans="2:12" x14ac:dyDescent="0.2">
      <c r="B6" s="10" t="s">
        <v>357</v>
      </c>
      <c r="C6" s="52">
        <f>Assumptions!$C$55</f>
        <v>4.79</v>
      </c>
    </row>
    <row r="7" spans="2:12" x14ac:dyDescent="0.2">
      <c r="B7" s="10" t="s">
        <v>358</v>
      </c>
      <c r="C7" s="52">
        <f>Assumptions!$C$56</f>
        <v>5</v>
      </c>
    </row>
    <row r="8" spans="2:12" x14ac:dyDescent="0.2">
      <c r="B8" s="10" t="s">
        <v>359</v>
      </c>
      <c r="C8" s="50">
        <f>Assumptions!$C$57</f>
        <v>1.41</v>
      </c>
    </row>
    <row r="9" spans="2:12" x14ac:dyDescent="0.2">
      <c r="B9" s="6" t="s">
        <v>360</v>
      </c>
      <c r="C9" s="61">
        <f>C6+C8*C7</f>
        <v>11.84</v>
      </c>
    </row>
    <row r="10" spans="2:12" x14ac:dyDescent="0.2">
      <c r="B10" s="10" t="s">
        <v>361</v>
      </c>
      <c r="C10" s="52">
        <f>Assumptions!$C$58</f>
        <v>6.25</v>
      </c>
    </row>
    <row r="11" spans="2:12" x14ac:dyDescent="0.2">
      <c r="B11" s="10" t="s">
        <v>362</v>
      </c>
      <c r="C11" s="52">
        <f>C10*(1-Assumptions!$C$38/100)</f>
        <v>4.78125</v>
      </c>
    </row>
    <row r="12" spans="2:12" x14ac:dyDescent="0.2">
      <c r="B12" s="10" t="s">
        <v>363</v>
      </c>
      <c r="C12" s="13">
        <f>Assumptions!$C$60*Assumptions!$C$61</f>
        <v>3747419.76</v>
      </c>
      <c r="L12" s="2" t="s">
        <v>364</v>
      </c>
    </row>
    <row r="13" spans="2:12" x14ac:dyDescent="0.2">
      <c r="B13" s="10" t="s">
        <v>235</v>
      </c>
      <c r="C13" s="13">
        <f>BS!E15</f>
        <v>696300</v>
      </c>
      <c r="L13" s="2" t="s">
        <v>365</v>
      </c>
    </row>
    <row r="14" spans="2:12" x14ac:dyDescent="0.2">
      <c r="B14" s="10" t="s">
        <v>366</v>
      </c>
      <c r="C14" s="16">
        <f>C12/(C12+C13)</f>
        <v>0.8433069505715185</v>
      </c>
    </row>
    <row r="15" spans="2:12" x14ac:dyDescent="0.2">
      <c r="B15" s="10" t="s">
        <v>367</v>
      </c>
      <c r="C15" s="16">
        <f>C13/(C12+C13)</f>
        <v>0.15669304942848153</v>
      </c>
    </row>
    <row r="16" spans="2:12" x14ac:dyDescent="0.2">
      <c r="B16" s="6" t="s">
        <v>368</v>
      </c>
      <c r="C16" s="61">
        <f>C14*C9+C15*C11</f>
        <v>10.733942937346706</v>
      </c>
    </row>
    <row r="17" spans="2:12" x14ac:dyDescent="0.2">
      <c r="B17" s="10" t="s">
        <v>369</v>
      </c>
      <c r="C17" s="52">
        <f>Assumptions!$C$59</f>
        <v>2.5</v>
      </c>
    </row>
    <row r="18" spans="2:12" ht="6" customHeight="1" x14ac:dyDescent="0.2"/>
    <row r="19" spans="2:12" ht="15.5" customHeight="1" x14ac:dyDescent="0.2">
      <c r="B19" s="3" t="s">
        <v>370</v>
      </c>
      <c r="C19" s="3"/>
      <c r="D19" s="3"/>
      <c r="E19" s="3"/>
      <c r="F19" s="3"/>
      <c r="G19" s="3"/>
      <c r="H19" s="3"/>
      <c r="I19" s="3"/>
      <c r="J19" s="3"/>
    </row>
    <row r="20" spans="2:12" x14ac:dyDescent="0.2">
      <c r="B20" s="36" t="s">
        <v>371</v>
      </c>
      <c r="C20" s="62"/>
      <c r="D20" s="62"/>
      <c r="E20" s="62"/>
      <c r="F20" s="33" t="s">
        <v>103</v>
      </c>
      <c r="G20" s="33" t="s">
        <v>104</v>
      </c>
      <c r="H20" s="33" t="s">
        <v>105</v>
      </c>
      <c r="I20" s="33" t="s">
        <v>119</v>
      </c>
      <c r="J20" s="33" t="s">
        <v>120</v>
      </c>
    </row>
    <row r="21" spans="2:12" x14ac:dyDescent="0.2">
      <c r="B21" s="38" t="s">
        <v>372</v>
      </c>
      <c r="F21" s="51">
        <f>IS!F26</f>
        <v>391846.66186866042</v>
      </c>
      <c r="G21" s="51">
        <f>IS!G26</f>
        <v>448214.18095919734</v>
      </c>
      <c r="H21" s="51">
        <f>IS!H26</f>
        <v>515229.27940027148</v>
      </c>
      <c r="I21" s="51">
        <f>IS!I26</f>
        <v>568270.32511454076</v>
      </c>
      <c r="J21" s="51">
        <f>IS!J26</f>
        <v>612570.26012479747</v>
      </c>
    </row>
    <row r="22" spans="2:12" x14ac:dyDescent="0.2">
      <c r="B22" s="38" t="s">
        <v>373</v>
      </c>
      <c r="F22" s="13">
        <f>-F21*Assumptions!$C$38/100</f>
        <v>-92083.965539135213</v>
      </c>
      <c r="G22" s="13">
        <f>-G21*Assumptions!$C$38/100</f>
        <v>-105330.33252541137</v>
      </c>
      <c r="H22" s="13">
        <f>-H21*Assumptions!$C$38/100</f>
        <v>-121078.8806590638</v>
      </c>
      <c r="I22" s="13">
        <f>-I21*Assumptions!$C$38/100</f>
        <v>-133543.52640191707</v>
      </c>
      <c r="J22" s="13">
        <f>-J21*Assumptions!$C$38/100</f>
        <v>-143954.01112932741</v>
      </c>
    </row>
    <row r="23" spans="2:12" x14ac:dyDescent="0.2">
      <c r="B23" s="44" t="s">
        <v>374</v>
      </c>
      <c r="F23" s="45">
        <f>F21+F22</f>
        <v>299762.69632952521</v>
      </c>
      <c r="G23" s="45">
        <f>G21+G22</f>
        <v>342883.84843378596</v>
      </c>
      <c r="H23" s="45">
        <f>H21+H22</f>
        <v>394150.39874120767</v>
      </c>
      <c r="I23" s="45">
        <f>I21+I22</f>
        <v>434726.79871262365</v>
      </c>
      <c r="J23" s="45">
        <f>J21+J22</f>
        <v>468616.24899547006</v>
      </c>
    </row>
    <row r="24" spans="2:12" x14ac:dyDescent="0.2">
      <c r="B24" s="38" t="s">
        <v>375</v>
      </c>
      <c r="F24" s="13">
        <f>Assumptions!F45</f>
        <v>20000</v>
      </c>
      <c r="G24" s="13">
        <f>Assumptions!G45</f>
        <v>21000</v>
      </c>
      <c r="H24" s="13">
        <f>Assumptions!H45</f>
        <v>22000</v>
      </c>
      <c r="I24" s="13">
        <f>Assumptions!I45</f>
        <v>23000</v>
      </c>
      <c r="J24" s="13">
        <f>Assumptions!J45</f>
        <v>24000</v>
      </c>
    </row>
    <row r="25" spans="2:12" x14ac:dyDescent="0.2">
      <c r="B25" s="38" t="s">
        <v>376</v>
      </c>
      <c r="F25" s="13">
        <f>-Assumptions!F44</f>
        <v>-11000</v>
      </c>
      <c r="G25" s="13">
        <f>-Assumptions!G44</f>
        <v>-11500</v>
      </c>
      <c r="H25" s="13">
        <f>-Assumptions!H44</f>
        <v>-12000</v>
      </c>
      <c r="I25" s="13">
        <f>-Assumptions!I44</f>
        <v>-12500</v>
      </c>
      <c r="J25" s="13">
        <f>-Assumptions!J44</f>
        <v>-13000</v>
      </c>
    </row>
    <row r="26" spans="2:12" x14ac:dyDescent="0.2">
      <c r="B26" s="38" t="s">
        <v>377</v>
      </c>
      <c r="F26" s="13">
        <f>-Assumptions!F46</f>
        <v>-17500</v>
      </c>
      <c r="G26" s="13">
        <f>-Assumptions!G46</f>
        <v>-18000</v>
      </c>
      <c r="H26" s="13">
        <f>-Assumptions!H46</f>
        <v>-18500</v>
      </c>
      <c r="I26" s="13">
        <f>-Assumptions!I46</f>
        <v>-19000</v>
      </c>
      <c r="J26" s="13">
        <f>-Assumptions!J46</f>
        <v>-19500</v>
      </c>
      <c r="L26" s="9" t="s">
        <v>378</v>
      </c>
    </row>
    <row r="27" spans="2:12" x14ac:dyDescent="0.2">
      <c r="B27" s="38" t="s">
        <v>379</v>
      </c>
      <c r="E27" s="13">
        <f>BS!E9+BS!E11-BS!E17</f>
        <v>3380146</v>
      </c>
      <c r="F27" s="13">
        <f>BS!F9+BS!F11-BS!F17</f>
        <v>3346409.1439853436</v>
      </c>
      <c r="G27" s="13">
        <f>BS!G9+BS!G11-BS!G17</f>
        <v>3510347.8773615048</v>
      </c>
      <c r="H27" s="13">
        <f>BS!H9+BS!H11-BS!H17</f>
        <v>3716887.8695248794</v>
      </c>
      <c r="I27" s="13">
        <f>BS!I9+BS!I11-BS!I17</f>
        <v>3931743.8509134543</v>
      </c>
      <c r="J27" s="13">
        <f>BS!J9+BS!J11-BS!J17</f>
        <v>4141174.0726926853</v>
      </c>
    </row>
    <row r="28" spans="2:12" x14ac:dyDescent="0.2">
      <c r="B28" s="38" t="s">
        <v>380</v>
      </c>
      <c r="F28" s="13">
        <f>-(F27-E27)</f>
        <v>33736.856014656369</v>
      </c>
      <c r="G28" s="13">
        <f>-(G27-F27)</f>
        <v>-163938.7333761612</v>
      </c>
      <c r="H28" s="13">
        <f>-(H27-G27)</f>
        <v>-206539.99216337455</v>
      </c>
      <c r="I28" s="13">
        <f>-(I27-H27)</f>
        <v>-214855.98138857493</v>
      </c>
      <c r="J28" s="13">
        <f>-(J27-I27)</f>
        <v>-209430.22177923098</v>
      </c>
      <c r="L28" s="9" t="s">
        <v>381</v>
      </c>
    </row>
    <row r="29" spans="2:12" x14ac:dyDescent="0.2">
      <c r="B29" s="44" t="s">
        <v>370</v>
      </c>
      <c r="F29" s="45">
        <f>F23+F24+F25+F26+F28</f>
        <v>324999.55234418157</v>
      </c>
      <c r="G29" s="45">
        <f>G23+G24+G25+G26+G28</f>
        <v>170445.11505762476</v>
      </c>
      <c r="H29" s="45">
        <f>H23+H24+H25+H26+H28</f>
        <v>179110.40657783311</v>
      </c>
      <c r="I29" s="45">
        <f>I23+I24+I25+I26+I28</f>
        <v>211370.81732404872</v>
      </c>
      <c r="J29" s="45">
        <f>J23+J24+J25+J26+J28</f>
        <v>250686.02721623908</v>
      </c>
    </row>
    <row r="30" spans="2:12" x14ac:dyDescent="0.2">
      <c r="B30" s="38" t="s">
        <v>382</v>
      </c>
      <c r="F30" s="40">
        <v>0.25</v>
      </c>
      <c r="G30" s="40">
        <v>1</v>
      </c>
      <c r="H30" s="40">
        <v>1</v>
      </c>
      <c r="I30" s="40">
        <v>1</v>
      </c>
      <c r="J30" s="40">
        <v>1</v>
      </c>
    </row>
    <row r="31" spans="2:12" x14ac:dyDescent="0.2">
      <c r="B31" s="38" t="s">
        <v>383</v>
      </c>
      <c r="F31" s="40">
        <v>0.125</v>
      </c>
      <c r="G31" s="40">
        <v>0.75</v>
      </c>
      <c r="H31" s="40">
        <v>1.75</v>
      </c>
      <c r="I31" s="40">
        <v>2.75</v>
      </c>
      <c r="J31" s="40">
        <v>3.75</v>
      </c>
    </row>
    <row r="32" spans="2:12" x14ac:dyDescent="0.2">
      <c r="B32" s="38" t="s">
        <v>384</v>
      </c>
      <c r="F32" s="63">
        <f>1/(1+$C$16/100)^F31</f>
        <v>0.98733584547272546</v>
      </c>
      <c r="G32" s="63">
        <f>1/(1+$C$16/100)^G31</f>
        <v>0.9263805471172234</v>
      </c>
      <c r="H32" s="63">
        <f>1/(1+$C$16/100)^H31</f>
        <v>0.83658228231010412</v>
      </c>
      <c r="I32" s="63">
        <f>1/(1+$C$16/100)^I31</f>
        <v>0.75548857027825922</v>
      </c>
      <c r="J32" s="63">
        <f>1/(1+$C$16/100)^J31</f>
        <v>0.68225563927197541</v>
      </c>
    </row>
    <row r="33" spans="2:12" x14ac:dyDescent="0.2">
      <c r="B33" s="44" t="s">
        <v>385</v>
      </c>
      <c r="F33" s="45">
        <f>F29*F30*F32</f>
        <v>80220.926947999949</v>
      </c>
      <c r="G33" s="45">
        <f>G29*G30*G32</f>
        <v>157897.03894054051</v>
      </c>
      <c r="H33" s="45">
        <f>H29*H30*H32</f>
        <v>149840.59272037432</v>
      </c>
      <c r="I33" s="45">
        <f>I29*I30*I32</f>
        <v>159688.23657869268</v>
      </c>
      <c r="J33" s="45">
        <f>J29*J30*J32</f>
        <v>171031.95575496703</v>
      </c>
    </row>
    <row r="34" spans="2:12" ht="6" customHeight="1" x14ac:dyDescent="0.2"/>
    <row r="35" spans="2:12" ht="15.5" customHeight="1" x14ac:dyDescent="0.2">
      <c r="B35" s="3" t="s">
        <v>386</v>
      </c>
      <c r="C35" s="3"/>
      <c r="D35" s="3"/>
      <c r="E35" s="3"/>
      <c r="F35" s="3"/>
      <c r="G35" s="3"/>
      <c r="H35" s="3"/>
      <c r="I35" s="3"/>
      <c r="J35" s="3"/>
    </row>
    <row r="36" spans="2:12" x14ac:dyDescent="0.2">
      <c r="B36" s="10" t="s">
        <v>387</v>
      </c>
      <c r="C36" s="13">
        <f>SUM(F33:J33)</f>
        <v>718678.75094257446</v>
      </c>
    </row>
    <row r="37" spans="2:12" x14ac:dyDescent="0.2">
      <c r="B37" s="10" t="s">
        <v>388</v>
      </c>
      <c r="C37" s="13">
        <f>J29*(1+C17/100)/(C16/100-C17/100)</f>
        <v>3120657.7438274701</v>
      </c>
      <c r="L37" s="2" t="s">
        <v>389</v>
      </c>
    </row>
    <row r="38" spans="2:12" x14ac:dyDescent="0.2">
      <c r="B38" s="10" t="s">
        <v>390</v>
      </c>
      <c r="C38" s="13">
        <f>C37/(1+C16/100)^4.25</f>
        <v>2023265.5749925259</v>
      </c>
    </row>
    <row r="39" spans="2:12" x14ac:dyDescent="0.2">
      <c r="B39" s="10" t="s">
        <v>391</v>
      </c>
      <c r="C39" s="16">
        <f>C38/(C36+C38)</f>
        <v>0.73789447723469748</v>
      </c>
      <c r="L39" s="2" t="s">
        <v>392</v>
      </c>
    </row>
    <row r="40" spans="2:12" x14ac:dyDescent="0.2">
      <c r="B40" s="6" t="s">
        <v>393</v>
      </c>
      <c r="C40" s="64">
        <f>C36+C38</f>
        <v>2741944.3259351002</v>
      </c>
    </row>
    <row r="41" spans="2:12" x14ac:dyDescent="0.2">
      <c r="B41" s="10" t="s">
        <v>394</v>
      </c>
      <c r="C41" s="13">
        <f>BS!E15-737000</f>
        <v>-40700</v>
      </c>
      <c r="L41" s="2" t="s">
        <v>395</v>
      </c>
    </row>
    <row r="42" spans="2:12" x14ac:dyDescent="0.2">
      <c r="B42" s="6" t="s">
        <v>396</v>
      </c>
      <c r="C42" s="64">
        <f>C40-C41</f>
        <v>2782644.3259351002</v>
      </c>
    </row>
    <row r="43" spans="2:12" x14ac:dyDescent="0.2">
      <c r="B43" s="10" t="s">
        <v>186</v>
      </c>
      <c r="C43" s="13">
        <f>Assumptions!$C$61</f>
        <v>25276</v>
      </c>
    </row>
    <row r="44" spans="2:12" x14ac:dyDescent="0.2">
      <c r="B44" s="6" t="s">
        <v>397</v>
      </c>
      <c r="C44" s="8">
        <f>C42/C43</f>
        <v>110.09037529415652</v>
      </c>
    </row>
    <row r="45" spans="2:12" x14ac:dyDescent="0.2">
      <c r="B45" s="6" t="s">
        <v>398</v>
      </c>
      <c r="C45" s="65">
        <f>C44/Assumptions!$C$60-1</f>
        <v>-0.25745059156780981</v>
      </c>
    </row>
    <row r="46" spans="2:12" ht="6" customHeight="1" x14ac:dyDescent="0.2"/>
    <row r="47" spans="2:12" ht="15.5" customHeight="1" x14ac:dyDescent="0.2">
      <c r="B47" s="3" t="s">
        <v>399</v>
      </c>
      <c r="C47" s="3"/>
      <c r="D47" s="3"/>
      <c r="E47" s="3"/>
      <c r="F47" s="3"/>
      <c r="G47" s="3"/>
      <c r="H47" s="3"/>
      <c r="I47" s="3"/>
      <c r="J47" s="3"/>
    </row>
    <row r="48" spans="2:12" x14ac:dyDescent="0.2">
      <c r="B48" s="24" t="s">
        <v>400</v>
      </c>
      <c r="C48" s="66">
        <v>1.4999999999999999E-2</v>
      </c>
      <c r="D48" s="66">
        <v>0.02</v>
      </c>
      <c r="E48" s="66">
        <v>2.5000000000000001E-2</v>
      </c>
      <c r="F48" s="66">
        <v>0.03</v>
      </c>
      <c r="G48" s="66">
        <v>3.5000000000000003E-2</v>
      </c>
    </row>
    <row r="49" spans="2:7" x14ac:dyDescent="0.2">
      <c r="B49" s="67">
        <f>$C$16+-1</f>
        <v>9.7339429373467059</v>
      </c>
      <c r="C49" s="68">
        <f>(F$29*F$30/(1+$B$49/100)^F$31+G$29*G$30/(1+$B$49/100)^G$31+H$29*H$30/(1+$B$49/100)^H$31+I$29*I$30/(1+$B$49/100)^I$31+J$29*J$30/(1+$B$49/100)^J$31+J$29*(1+C$48)/($B$49/100-C$48)/(1+$B$49/100)^4.25-$C$41)/$C$43</f>
        <v>112.96003267868539</v>
      </c>
      <c r="D49" s="68">
        <f>(F$29*F$30/(1+$B$49/100)^F$31+G$29*G$30/(1+$B$49/100)^G$31+H$29*H$30/(1+$B$49/100)^H$31+I$29*I$30/(1+$B$49/100)^I$31+J$29*J$30/(1+$B$49/100)^J$31+J$29*(1+D$48)/($B$49/100-D$48)/(1+$B$49/100)^4.25-$C$41)/$C$43</f>
        <v>118.71807389999108</v>
      </c>
      <c r="E49" s="68">
        <f>(F$29*F$30/(1+$B$49/100)^F$31+G$29*G$30/(1+$B$49/100)^G$31+H$29*H$30/(1+$B$49/100)^H$31+I$29*I$30/(1+$B$49/100)^I$31+J$29*J$30/(1+$B$49/100)^J$31+J$29*(1+E$48)/($B$49/100-E$48)/(1+$B$49/100)^4.25-$C$41)/$C$43</f>
        <v>125.27209060398663</v>
      </c>
      <c r="F49" s="68">
        <f>(F$29*F$30/(1+$B$49/100)^F$31+G$29*G$30/(1+$B$49/100)^G$31+H$29*H$30/(1+$B$49/100)^H$31+I$29*I$30/(1+$B$49/100)^I$31+J$29*J$30/(1+$B$49/100)^J$31+J$29*(1+F$48)/($B$49/100-F$48)/(1+$B$49/100)^4.25-$C$41)/$C$43</f>
        <v>132.79938800919615</v>
      </c>
      <c r="G49" s="68">
        <f>(F$29*F$30/(1+$B$49/100)^F$31+G$29*G$30/(1+$B$49/100)^G$31+H$29*H$30/(1+$B$49/100)^H$31+I$29*I$30/(1+$B$49/100)^I$31+J$29*J$30/(1+$B$49/100)^J$31+J$29*(1+G$48)/($B$49/100-G$48)/(1+$B$49/100)^4.25-$C$41)/$C$43</f>
        <v>141.53415514598026</v>
      </c>
    </row>
    <row r="50" spans="2:7" x14ac:dyDescent="0.2">
      <c r="B50" s="67">
        <f>$C$16+-0.5</f>
        <v>10.233942937346706</v>
      </c>
      <c r="C50" s="68">
        <f>(F$29*F$30/(1+$B$50/100)^F$31+G$29*G$30/(1+$B$50/100)^G$31+H$29*H$30/(1+$B$50/100)^H$31+I$29*I$30/(1+$B$50/100)^I$31+J$29*J$30/(1+$B$50/100)^J$31+J$29*(1+C$48)/($B$50/100-C$48)/(1+$B$50/100)^4.25-$C$41)/$C$43</f>
        <v>106.4879243832188</v>
      </c>
      <c r="D50" s="68">
        <f>(F$29*F$30/(1+$B$50/100)^F$31+G$29*G$30/(1+$B$50/100)^G$31+H$29*H$30/(1+$B$50/100)^H$31+I$29*I$30/(1+$B$50/100)^I$31+J$29*J$30/(1+$B$50/100)^J$31+J$29*(1+D$48)/($B$50/100-D$48)/(1+$B$50/100)^4.25-$C$41)/$C$43</f>
        <v>111.51191386225375</v>
      </c>
      <c r="E50" s="68">
        <f>(F$29*F$30/(1+$B$50/100)^F$31+G$29*G$30/(1+$B$50/100)^G$31+H$29*H$30/(1+$B$50/100)^H$31+I$29*I$30/(1+$B$50/100)^I$31+J$29*J$30/(1+$B$50/100)^J$31+J$29*(1+E$48)/($B$50/100-E$48)/(1+$B$50/100)^4.25-$C$41)/$C$43</f>
        <v>117.18550594629043</v>
      </c>
      <c r="F50" s="68">
        <f>(F$29*F$30/(1+$B$50/100)^F$31+G$29*G$30/(1+$B$50/100)^G$31+H$29*H$30/(1+$B$50/100)^H$31+I$29*I$30/(1+$B$50/100)^I$31+J$29*J$30/(1+$B$50/100)^J$31+J$29*(1+F$48)/($B$50/100-F$48)/(1+$B$50/100)^4.25-$C$41)/$C$43</f>
        <v>123.6433995009325</v>
      </c>
      <c r="G50" s="68">
        <f>(F$29*F$30/(1+$B$50/100)^F$31+G$29*G$30/(1+$B$50/100)^G$31+H$29*H$30/(1+$B$50/100)^H$31+I$29*I$30/(1+$B$50/100)^I$31+J$29*J$30/(1+$B$50/100)^J$31+J$29*(1+G$48)/($B$50/100-G$48)/(1+$B$50/100)^4.25-$C$41)/$C$43</f>
        <v>131.06029933387646</v>
      </c>
    </row>
    <row r="51" spans="2:7" x14ac:dyDescent="0.2">
      <c r="B51" s="67">
        <f>$C$16+0</f>
        <v>10.733942937346706</v>
      </c>
      <c r="C51" s="68">
        <f>(F$29*F$30/(1+$B$51/100)^F$31+G$29*G$30/(1+$B$51/100)^G$31+H$29*H$30/(1+$B$51/100)^H$31+I$29*I$30/(1+$B$51/100)^I$31+J$29*J$30/(1+$B$51/100)^J$31+J$29*(1+C$48)/($B$51/100-C$48)/(1+$B$51/100)^4.25-$C$41)/$C$43</f>
        <v>100.72523564058858</v>
      </c>
      <c r="D51" s="68">
        <f>(F$29*F$30/(1+$B$51/100)^F$31+G$29*G$30/(1+$B$51/100)^G$31+H$29*H$30/(1+$B$51/100)^H$31+I$29*I$30/(1+$B$51/100)^I$31+J$29*J$30/(1+$B$51/100)^J$31+J$29*(1+D$48)/($B$51/100-D$48)/(1+$B$51/100)^4.25-$C$41)/$C$43</f>
        <v>105.1397381202205</v>
      </c>
      <c r="E51" s="69">
        <f>(F$29*F$30/(1+$B$51/100)^F$31+G$29*G$30/(1+$B$51/100)^G$31+H$29*H$30/(1+$B$51/100)^H$31+I$29*I$30/(1+$B$51/100)^I$31+J$29*J$30/(1+$B$51/100)^J$31+J$29*(1+E$48)/($B$51/100-E$48)/(1+$B$51/100)^4.25-$C$41)/$C$43</f>
        <v>110.09037529415652</v>
      </c>
      <c r="F51" s="68">
        <f>(F$29*F$30/(1+$B$51/100)^F$31+G$29*G$30/(1+$B$51/100)^G$31+H$29*H$30/(1+$B$51/100)^H$31+I$29*I$30/(1+$B$51/100)^I$31+J$29*J$30/(1+$B$51/100)^J$31+J$29*(1+F$48)/($B$51/100-F$48)/(1+$B$51/100)^4.25-$C$41)/$C$43</f>
        <v>115.68113060887038</v>
      </c>
      <c r="G51" s="68">
        <f>(F$29*F$30/(1+$B$51/100)^F$31+G$29*G$30/(1+$B$51/100)^G$31+H$29*H$30/(1+$B$51/100)^H$31+I$29*I$30/(1+$B$51/100)^I$31+J$29*J$30/(1+$B$51/100)^J$31+J$29*(1+G$48)/($B$51/100-G$48)/(1+$B$51/100)^4.25-$C$41)/$C$43</f>
        <v>122.04473627133167</v>
      </c>
    </row>
    <row r="52" spans="2:7" x14ac:dyDescent="0.2">
      <c r="B52" s="67">
        <f>$C$16+0.5</f>
        <v>11.233942937346706</v>
      </c>
      <c r="C52" s="68">
        <f>(F$29*F$30/(1+$B$52/100)^F$31+G$29*G$30/(1+$B$52/100)^G$31+H$29*H$30/(1+$B$52/100)^H$31+I$29*I$30/(1+$B$52/100)^I$31+J$29*J$30/(1+$B$52/100)^J$31+J$29*(1+C$48)/($B$52/100-C$48)/(1+$B$52/100)^4.25-$C$41)/$C$43</f>
        <v>95.562380508436803</v>
      </c>
      <c r="D52" s="68">
        <f>(F$29*F$30/(1+$B$52/100)^F$31+G$29*G$30/(1+$B$52/100)^G$31+H$29*H$30/(1+$B$52/100)^H$31+I$29*I$30/(1+$B$52/100)^I$31+J$29*J$30/(1+$B$52/100)^J$31+J$29*(1+D$48)/($B$52/100-D$48)/(1+$B$52/100)^4.25-$C$41)/$C$43</f>
        <v>99.465793236843751</v>
      </c>
      <c r="E52" s="68">
        <f>(F$29*F$30/(1+$B$52/100)^F$31+G$29*G$30/(1+$B$52/100)^G$31+H$29*H$30/(1+$B$52/100)^H$31+I$29*I$30/(1+$B$52/100)^I$31+J$29*J$30/(1+$B$52/100)^J$31+J$29*(1+E$48)/($B$52/100-E$48)/(1+$B$52/100)^4.25-$C$41)/$C$43</f>
        <v>103.81613042496015</v>
      </c>
      <c r="F52" s="68">
        <f>(F$29*F$30/(1+$B$52/100)^F$31+G$29*G$30/(1+$B$52/100)^G$31+H$29*H$30/(1+$B$52/100)^H$31+I$29*I$30/(1+$B$52/100)^I$31+J$29*J$30/(1+$B$52/100)^J$31+J$29*(1+F$48)/($B$52/100-F$48)/(1+$B$52/100)^4.25-$C$41)/$C$43</f>
        <v>108.69480952912077</v>
      </c>
      <c r="G52" s="68">
        <f>(F$29*F$30/(1+$B$52/100)^F$31+G$29*G$30/(1+$B$52/100)^G$31+H$29*H$30/(1+$B$52/100)^H$31+I$29*I$30/(1+$B$52/100)^I$31+J$29*J$30/(1+$B$52/100)^J$31+J$29*(1+G$48)/($B$52/100-G$48)/(1+$B$52/100)^4.25-$C$41)/$C$43</f>
        <v>114.20430258467502</v>
      </c>
    </row>
    <row r="53" spans="2:7" x14ac:dyDescent="0.2">
      <c r="B53" s="67">
        <f>$C$16+1</f>
        <v>11.733942937346706</v>
      </c>
      <c r="C53" s="68">
        <f>(F$29*F$30/(1+$B$53/100)^F$31+G$29*G$30/(1+$B$53/100)^G$31+H$29*H$30/(1+$B$53/100)^H$31+I$29*I$30/(1+$B$53/100)^I$31+J$29*J$30/(1+$B$53/100)^J$31+J$29*(1+C$48)/($B$53/100-C$48)/(1+$B$53/100)^4.25-$C$41)/$C$43</f>
        <v>90.911198283519397</v>
      </c>
      <c r="D53" s="68">
        <f>(F$29*F$30/(1+$B$53/100)^F$31+G$29*G$30/(1+$B$53/100)^G$31+H$29*H$30/(1+$B$53/100)^H$31+I$29*I$30/(1+$B$53/100)^I$31+J$29*J$30/(1+$B$53/100)^J$31+J$29*(1+D$48)/($B$53/100-D$48)/(1+$B$53/100)^4.25-$C$41)/$C$43</f>
        <v>94.382228090813399</v>
      </c>
      <c r="E53" s="68">
        <f>(F$29*F$30/(1+$B$53/100)^F$31+G$29*G$30/(1+$B$53/100)^G$31+H$29*H$30/(1+$B$53/100)^H$31+I$29*I$30/(1+$B$53/100)^I$31+J$29*J$30/(1+$B$53/100)^J$31+J$29*(1+E$48)/($B$53/100-E$48)/(1+$B$53/100)^4.25-$C$41)/$C$43</f>
        <v>98.229156886312637</v>
      </c>
      <c r="F53" s="68">
        <f>(F$29*F$30/(1+$B$53/100)^F$31+G$29*G$30/(1+$B$53/100)^G$31+H$29*H$30/(1+$B$53/100)^H$31+I$29*I$30/(1+$B$53/100)^I$31+J$29*J$30/(1+$B$53/100)^J$31+J$29*(1+F$48)/($B$53/100-F$48)/(1+$B$53/100)^4.25-$C$41)/$C$43</f>
        <v>102.51654296703754</v>
      </c>
      <c r="G53" s="68">
        <f>(F$29*F$30/(1+$B$53/100)^F$31+G$29*G$30/(1+$B$53/100)^G$31+H$29*H$30/(1+$B$53/100)^H$31+I$29*I$30/(1+$B$53/100)^I$31+J$29*J$30/(1+$B$53/100)^J$31+J$29*(1+G$48)/($B$53/100-G$48)/(1+$B$53/100)^4.25-$C$41)/$C$43</f>
        <v>107.32462564638455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7A5C2E"/>
  </sheetPr>
  <dimension ref="B2:Q30"/>
  <sheetViews>
    <sheetView showGridLines="0" workbookViewId="0">
      <pane xSplit="2" ySplit="5" topLeftCell="C6" activePane="bottomRight" state="frozen"/>
      <selection pane="topRight"/>
      <selection pane="bottomLeft"/>
      <selection pane="bottomRight" activeCell="Q29" sqref="Q29"/>
    </sheetView>
  </sheetViews>
  <sheetFormatPr baseColWidth="10" defaultColWidth="8.83203125" defaultRowHeight="15" x14ac:dyDescent="0.2"/>
  <cols>
    <col min="1" max="1" width="2.1640625" customWidth="1"/>
    <col min="2" max="2" width="23" customWidth="1"/>
    <col min="3" max="3" width="9" customWidth="1"/>
    <col min="4" max="5" width="11" customWidth="1"/>
    <col min="6" max="6" width="10" customWidth="1"/>
    <col min="7" max="7" width="9" customWidth="1"/>
    <col min="8" max="8" width="11" customWidth="1"/>
    <col min="9" max="9" width="10" customWidth="1"/>
    <col min="10" max="10" width="9" customWidth="1"/>
    <col min="11" max="12" width="10" customWidth="1"/>
    <col min="13" max="15" width="8" customWidth="1"/>
    <col min="16" max="16" width="11" customWidth="1"/>
    <col min="17" max="17" width="56" customWidth="1"/>
    <col min="18" max="18" width="2" customWidth="1"/>
  </cols>
  <sheetData>
    <row r="2" spans="2:17" ht="21" customHeight="1" x14ac:dyDescent="0.25">
      <c r="B2" s="1" t="s">
        <v>401</v>
      </c>
    </row>
    <row r="3" spans="2:17" x14ac:dyDescent="0.2">
      <c r="B3" s="2" t="s">
        <v>402</v>
      </c>
    </row>
    <row r="5" spans="2:17" ht="30" customHeight="1" x14ac:dyDescent="0.2">
      <c r="B5" s="70" t="s">
        <v>403</v>
      </c>
      <c r="C5" s="71" t="s">
        <v>404</v>
      </c>
      <c r="D5" s="71" t="s">
        <v>405</v>
      </c>
      <c r="E5" s="71" t="s">
        <v>406</v>
      </c>
      <c r="F5" s="71" t="s">
        <v>407</v>
      </c>
      <c r="G5" s="71" t="s">
        <v>408</v>
      </c>
      <c r="H5" s="71" t="s">
        <v>409</v>
      </c>
      <c r="I5" s="71" t="s">
        <v>410</v>
      </c>
      <c r="J5" s="71" t="s">
        <v>411</v>
      </c>
      <c r="K5" s="71" t="s">
        <v>412</v>
      </c>
      <c r="L5" s="71" t="s">
        <v>413</v>
      </c>
      <c r="M5" s="71" t="s">
        <v>414</v>
      </c>
      <c r="N5" s="71" t="s">
        <v>415</v>
      </c>
      <c r="O5" s="71" t="s">
        <v>416</v>
      </c>
      <c r="P5" s="71" t="s">
        <v>417</v>
      </c>
    </row>
    <row r="6" spans="2:17" x14ac:dyDescent="0.2">
      <c r="B6" s="72" t="s">
        <v>418</v>
      </c>
      <c r="C6" s="40">
        <v>142.94</v>
      </c>
      <c r="D6" s="41">
        <v>39980</v>
      </c>
      <c r="E6" s="41">
        <v>23820</v>
      </c>
      <c r="F6" s="41">
        <v>164</v>
      </c>
      <c r="G6" s="73">
        <v>13.6</v>
      </c>
      <c r="H6" s="41">
        <v>33350</v>
      </c>
      <c r="I6" s="13">
        <f t="shared" ref="I6:I11" si="0">D6/G6</f>
        <v>2939.7058823529414</v>
      </c>
      <c r="J6" s="48">
        <f t="shared" ref="J6:J11" si="1">D6/C6</f>
        <v>279.69777529033161</v>
      </c>
      <c r="K6" s="50">
        <f t="shared" ref="K6:K11" si="2">E6/J6</f>
        <v>85.163351675837916</v>
      </c>
      <c r="L6" s="50">
        <f t="shared" ref="L6:L11" si="3">(E6-F6)/J6</f>
        <v>84.577004502251128</v>
      </c>
      <c r="M6" s="60">
        <f t="shared" ref="M6:M11" si="4">C6/K6</f>
        <v>1.6784214945424014</v>
      </c>
      <c r="N6" s="60">
        <f t="shared" ref="N6:N11" si="5">C6/L6</f>
        <v>1.6900574907000336</v>
      </c>
      <c r="O6" s="16">
        <f t="shared" ref="O6:O11" si="6">I6/E6</f>
        <v>0.12341334518694129</v>
      </c>
      <c r="P6" s="74">
        <f t="shared" ref="P6:P11" si="7">G6*O6</f>
        <v>1.6784214945424014</v>
      </c>
    </row>
    <row r="7" spans="2:17" x14ac:dyDescent="0.2">
      <c r="B7" s="72" t="s">
        <v>419</v>
      </c>
      <c r="C7" s="40">
        <v>83.88</v>
      </c>
      <c r="D7" s="41">
        <v>20210</v>
      </c>
      <c r="E7" s="41">
        <v>21621</v>
      </c>
      <c r="F7" s="41">
        <v>3632</v>
      </c>
      <c r="G7" s="73">
        <v>13.12</v>
      </c>
      <c r="H7" s="41">
        <v>32740</v>
      </c>
      <c r="I7" s="13">
        <f t="shared" si="0"/>
        <v>1540.3963414634147</v>
      </c>
      <c r="J7" s="48">
        <f t="shared" si="1"/>
        <v>240.93943729136865</v>
      </c>
      <c r="K7" s="50">
        <f t="shared" si="2"/>
        <v>89.736243443839669</v>
      </c>
      <c r="L7" s="50">
        <f t="shared" si="3"/>
        <v>74.661915883226115</v>
      </c>
      <c r="M7" s="60">
        <f t="shared" si="4"/>
        <v>0.93473937375699556</v>
      </c>
      <c r="N7" s="60">
        <f t="shared" si="5"/>
        <v>1.1234643393184724</v>
      </c>
      <c r="O7" s="16">
        <f t="shared" si="6"/>
        <v>7.1245379097331973E-2</v>
      </c>
      <c r="P7" s="74">
        <f t="shared" si="7"/>
        <v>0.93473937375699545</v>
      </c>
    </row>
    <row r="8" spans="2:17" x14ac:dyDescent="0.2">
      <c r="B8" s="72" t="s">
        <v>420</v>
      </c>
      <c r="C8" s="40">
        <v>124.36</v>
      </c>
      <c r="D8" s="41">
        <v>23310</v>
      </c>
      <c r="E8" s="41">
        <v>13014</v>
      </c>
      <c r="F8" s="41">
        <v>86</v>
      </c>
      <c r="G8" s="73">
        <v>12.68</v>
      </c>
      <c r="H8" s="41">
        <v>16410</v>
      </c>
      <c r="I8" s="13">
        <f t="shared" si="0"/>
        <v>1838.3280757097791</v>
      </c>
      <c r="J8" s="48">
        <f t="shared" si="1"/>
        <v>187.43969121904149</v>
      </c>
      <c r="K8" s="50">
        <f t="shared" si="2"/>
        <v>69.43033204633204</v>
      </c>
      <c r="L8" s="50">
        <f t="shared" si="3"/>
        <v>68.971517803517798</v>
      </c>
      <c r="M8" s="60">
        <f t="shared" si="4"/>
        <v>1.7911479944674966</v>
      </c>
      <c r="N8" s="60">
        <f t="shared" si="5"/>
        <v>1.8030631188118813</v>
      </c>
      <c r="O8" s="16">
        <f t="shared" si="6"/>
        <v>0.1412577282703073</v>
      </c>
      <c r="P8" s="74">
        <f t="shared" si="7"/>
        <v>1.7911479944674966</v>
      </c>
    </row>
    <row r="9" spans="2:17" x14ac:dyDescent="0.2">
      <c r="B9" s="72" t="s">
        <v>421</v>
      </c>
      <c r="C9" s="40">
        <v>141.43</v>
      </c>
      <c r="D9" s="41">
        <v>13030</v>
      </c>
      <c r="E9" s="41">
        <v>8531</v>
      </c>
      <c r="F9" s="41">
        <v>0</v>
      </c>
      <c r="G9" s="73">
        <v>11.32</v>
      </c>
      <c r="H9" s="41">
        <v>10760</v>
      </c>
      <c r="I9" s="13">
        <f t="shared" si="0"/>
        <v>1151.0600706713781</v>
      </c>
      <c r="J9" s="48">
        <f t="shared" si="1"/>
        <v>92.130382521388668</v>
      </c>
      <c r="K9" s="50">
        <f t="shared" si="2"/>
        <v>92.597032233307758</v>
      </c>
      <c r="L9" s="50">
        <f t="shared" si="3"/>
        <v>92.597032233307758</v>
      </c>
      <c r="M9" s="60">
        <f t="shared" si="4"/>
        <v>1.5273707654436759</v>
      </c>
      <c r="N9" s="60">
        <f t="shared" si="5"/>
        <v>1.5273707654436759</v>
      </c>
      <c r="O9" s="16">
        <f t="shared" si="6"/>
        <v>0.13492674606392896</v>
      </c>
      <c r="P9" s="74">
        <f t="shared" si="7"/>
        <v>1.5273707654436759</v>
      </c>
    </row>
    <row r="10" spans="2:17" x14ac:dyDescent="0.2">
      <c r="B10" s="72" t="s">
        <v>422</v>
      </c>
      <c r="C10" s="40">
        <v>67.75</v>
      </c>
      <c r="D10" s="41">
        <v>4420</v>
      </c>
      <c r="E10" s="41">
        <v>5058</v>
      </c>
      <c r="F10" s="41">
        <v>34</v>
      </c>
      <c r="G10" s="73">
        <v>14.07</v>
      </c>
      <c r="H10" s="41">
        <v>5390</v>
      </c>
      <c r="I10" s="13">
        <f t="shared" si="0"/>
        <v>314.14356787491113</v>
      </c>
      <c r="J10" s="48">
        <f t="shared" si="1"/>
        <v>65.239852398523979</v>
      </c>
      <c r="K10" s="50">
        <f t="shared" si="2"/>
        <v>77.529298642533945</v>
      </c>
      <c r="L10" s="50">
        <f t="shared" si="3"/>
        <v>77.008144796380094</v>
      </c>
      <c r="M10" s="60">
        <f t="shared" si="4"/>
        <v>0.87386318703044674</v>
      </c>
      <c r="N10" s="60">
        <f t="shared" si="5"/>
        <v>0.87977707006369421</v>
      </c>
      <c r="O10" s="16">
        <f t="shared" si="6"/>
        <v>6.2108257784679939E-2</v>
      </c>
      <c r="P10" s="74">
        <f t="shared" si="7"/>
        <v>0.87386318703044674</v>
      </c>
    </row>
    <row r="11" spans="2:17" x14ac:dyDescent="0.2">
      <c r="B11" s="72" t="s">
        <v>423</v>
      </c>
      <c r="C11" s="40">
        <v>46.95</v>
      </c>
      <c r="D11" s="41">
        <v>4000</v>
      </c>
      <c r="E11" s="41">
        <v>3141</v>
      </c>
      <c r="F11" s="41">
        <v>156</v>
      </c>
      <c r="G11" s="73">
        <v>22.24</v>
      </c>
      <c r="H11" s="41">
        <v>3250</v>
      </c>
      <c r="I11" s="13">
        <f t="shared" si="0"/>
        <v>179.85611510791369</v>
      </c>
      <c r="J11" s="48">
        <f t="shared" si="1"/>
        <v>85.197018104366336</v>
      </c>
      <c r="K11" s="50">
        <f t="shared" si="2"/>
        <v>36.867487500000003</v>
      </c>
      <c r="L11" s="50">
        <f t="shared" si="3"/>
        <v>35.036437500000005</v>
      </c>
      <c r="M11" s="60">
        <f t="shared" si="4"/>
        <v>1.2734797835084368</v>
      </c>
      <c r="N11" s="60">
        <f t="shared" si="5"/>
        <v>1.3400335008375208</v>
      </c>
      <c r="O11" s="16">
        <f t="shared" si="6"/>
        <v>5.7260781632573608E-2</v>
      </c>
      <c r="P11" s="74">
        <f t="shared" si="7"/>
        <v>1.273479783508437</v>
      </c>
    </row>
    <row r="12" spans="2:17" x14ac:dyDescent="0.2">
      <c r="B12" s="18" t="s">
        <v>424</v>
      </c>
      <c r="C12" s="19"/>
      <c r="D12" s="19"/>
      <c r="E12" s="19"/>
      <c r="F12" s="19"/>
      <c r="G12" s="75">
        <f>MEDIAN(G6:G11)</f>
        <v>13.36</v>
      </c>
      <c r="H12" s="19"/>
      <c r="I12" s="19"/>
      <c r="J12" s="19"/>
      <c r="K12" s="19"/>
      <c r="L12" s="19"/>
      <c r="M12" s="75">
        <f>MEDIAN(M6:M11)</f>
        <v>1.4004252744760564</v>
      </c>
      <c r="N12" s="75">
        <f>MEDIAN(N6:N11)</f>
        <v>1.4337021331405984</v>
      </c>
      <c r="O12" s="76">
        <f>MEDIAN(O6:O11)</f>
        <v>9.7329362142136638E-2</v>
      </c>
      <c r="P12" s="19"/>
    </row>
    <row r="13" spans="2:17" x14ac:dyDescent="0.2">
      <c r="B13" s="24" t="s">
        <v>425</v>
      </c>
      <c r="G13" s="77">
        <f>AVERAGE(G6:G11)</f>
        <v>14.504999999999997</v>
      </c>
      <c r="M13" s="77">
        <f>AVERAGE(M6:M11)</f>
        <v>1.3465037664582422</v>
      </c>
      <c r="N13" s="77">
        <f>AVERAGE(N6:N11)</f>
        <v>1.3939610475292128</v>
      </c>
      <c r="O13" s="34">
        <f>AVERAGE(O6:O11)</f>
        <v>9.8368706339293857E-2</v>
      </c>
    </row>
    <row r="14" spans="2:17" ht="26" x14ac:dyDescent="0.2">
      <c r="B14" s="27" t="s">
        <v>426</v>
      </c>
      <c r="C14" s="78">
        <v>148.26</v>
      </c>
      <c r="D14" s="79">
        <v>3748</v>
      </c>
      <c r="E14" s="79">
        <v>3227</v>
      </c>
      <c r="F14" s="79">
        <v>16</v>
      </c>
      <c r="G14" s="80">
        <v>12.41</v>
      </c>
      <c r="H14" s="79">
        <v>4260</v>
      </c>
      <c r="I14" s="64">
        <f>D14/G14</f>
        <v>302.01450443190976</v>
      </c>
      <c r="J14" s="81">
        <f>D14/C14</f>
        <v>25.279913665182789</v>
      </c>
      <c r="K14" s="82">
        <f>E14/J14</f>
        <v>127.65075240128067</v>
      </c>
      <c r="L14" s="82">
        <f>(E14-F14)/J14</f>
        <v>127.01783884738526</v>
      </c>
      <c r="M14" s="83">
        <f>C14/K14</f>
        <v>1.1614502634025412</v>
      </c>
      <c r="N14" s="83">
        <f>C14/L14</f>
        <v>1.1672376206789163</v>
      </c>
      <c r="O14" s="12">
        <f>I14/E14</f>
        <v>9.3589868122686631E-2</v>
      </c>
      <c r="P14" s="83">
        <f>G14*O14</f>
        <v>1.1614502634025412</v>
      </c>
      <c r="Q14" s="9" t="s">
        <v>488</v>
      </c>
    </row>
    <row r="16" spans="2:17" ht="15.5" customHeight="1" x14ac:dyDescent="0.2">
      <c r="B16" s="3" t="s">
        <v>427</v>
      </c>
      <c r="C16" s="3"/>
      <c r="D16" s="3"/>
      <c r="E16" s="3"/>
      <c r="F16" s="3"/>
      <c r="G16" s="3"/>
      <c r="H16" s="3"/>
      <c r="I16" s="3"/>
      <c r="J16" s="3"/>
      <c r="K16" s="3"/>
      <c r="L16" s="3"/>
      <c r="M16" s="3"/>
      <c r="N16" s="3"/>
      <c r="O16" s="3"/>
      <c r="P16" s="3"/>
    </row>
    <row r="17" spans="2:17" x14ac:dyDescent="0.2">
      <c r="B17" s="10" t="s">
        <v>428</v>
      </c>
      <c r="E17" s="60">
        <f>MIN(G6:G10)</f>
        <v>11.32</v>
      </c>
    </row>
    <row r="18" spans="2:17" x14ac:dyDescent="0.2">
      <c r="B18" s="10" t="s">
        <v>429</v>
      </c>
      <c r="E18" s="60">
        <f>MAX(G6:G10)</f>
        <v>14.07</v>
      </c>
    </row>
    <row r="19" spans="2:17" x14ac:dyDescent="0.2">
      <c r="B19" s="10" t="s">
        <v>430</v>
      </c>
      <c r="E19" s="16">
        <f>STDEVP(G6:G10)/AVERAGE(G6:G10)</f>
        <v>7.2683786375851711E-2</v>
      </c>
      <c r="Q19" s="9" t="s">
        <v>431</v>
      </c>
    </row>
    <row r="20" spans="2:17" x14ac:dyDescent="0.2">
      <c r="B20" s="10" t="s">
        <v>432</v>
      </c>
      <c r="E20" s="16">
        <f>MIN(O6:O10)</f>
        <v>6.2108257784679939E-2</v>
      </c>
    </row>
    <row r="21" spans="2:17" x14ac:dyDescent="0.2">
      <c r="B21" s="10" t="s">
        <v>433</v>
      </c>
      <c r="E21" s="16">
        <f>MAX(O6:O10)</f>
        <v>0.1412577282703073</v>
      </c>
    </row>
    <row r="22" spans="2:17" x14ac:dyDescent="0.2">
      <c r="B22" s="6" t="s">
        <v>434</v>
      </c>
      <c r="E22" s="12">
        <f>STDEVP(O6:O10)/AVERAGE(O6:O10)</f>
        <v>0.31160058368166438</v>
      </c>
      <c r="Q22" s="9" t="s">
        <v>435</v>
      </c>
    </row>
    <row r="23" spans="2:17" ht="6" customHeight="1" x14ac:dyDescent="0.2"/>
    <row r="24" spans="2:17" ht="39" x14ac:dyDescent="0.2">
      <c r="B24" s="10" t="s">
        <v>436</v>
      </c>
      <c r="E24" s="84">
        <f>3.5+M14*(DCF!$C$9-3.5)</f>
        <v>13.186495196777193</v>
      </c>
      <c r="Q24" s="9" t="s">
        <v>437</v>
      </c>
    </row>
    <row r="25" spans="2:17" ht="6" customHeight="1" x14ac:dyDescent="0.2"/>
    <row r="26" spans="2:17" ht="15.5" customHeight="1" x14ac:dyDescent="0.2">
      <c r="B26" s="3" t="s">
        <v>438</v>
      </c>
      <c r="C26" s="3"/>
      <c r="D26" s="3"/>
      <c r="E26" s="3"/>
      <c r="F26" s="3"/>
      <c r="G26" s="3"/>
      <c r="H26" s="3"/>
      <c r="I26" s="3"/>
      <c r="J26" s="3"/>
      <c r="K26" s="3"/>
      <c r="L26" s="3"/>
      <c r="M26" s="3"/>
      <c r="N26" s="3"/>
      <c r="O26" s="3"/>
      <c r="P26" s="3"/>
    </row>
    <row r="27" spans="2:17" x14ac:dyDescent="0.2">
      <c r="B27" s="15" t="s">
        <v>76</v>
      </c>
      <c r="C27" s="15" t="s">
        <v>439</v>
      </c>
      <c r="E27" s="15" t="s">
        <v>440</v>
      </c>
      <c r="H27" s="15" t="s">
        <v>77</v>
      </c>
    </row>
    <row r="28" spans="2:17" ht="52" x14ac:dyDescent="0.2">
      <c r="B28" s="14" t="s">
        <v>83</v>
      </c>
      <c r="C28" s="60">
        <f>M12</f>
        <v>1.4004252744760564</v>
      </c>
      <c r="E28" s="2" t="s">
        <v>441</v>
      </c>
      <c r="H28" s="85">
        <f>C28*((BS!F25)+(BS!G25))/2</f>
        <v>189.81199251076288</v>
      </c>
      <c r="Q28" s="9" t="s">
        <v>489</v>
      </c>
    </row>
    <row r="29" spans="2:17" ht="26" x14ac:dyDescent="0.2">
      <c r="B29" s="14" t="s">
        <v>442</v>
      </c>
      <c r="C29" s="60">
        <f>G12</f>
        <v>13.36</v>
      </c>
      <c r="E29" s="2" t="s">
        <v>443</v>
      </c>
      <c r="H29" s="85">
        <f>C29*IS!G37</f>
        <v>187.85754154431442</v>
      </c>
      <c r="Q29" s="9" t="s">
        <v>444</v>
      </c>
    </row>
    <row r="30" spans="2:17" ht="39" x14ac:dyDescent="0.2">
      <c r="B30" s="14" t="s">
        <v>445</v>
      </c>
      <c r="C30" s="60">
        <f>G14</f>
        <v>12.41</v>
      </c>
      <c r="E30" s="2" t="s">
        <v>443</v>
      </c>
      <c r="H30" s="85">
        <f>C30*IS!G37</f>
        <v>174.49940797641781</v>
      </c>
      <c r="Q30" s="9" t="s">
        <v>446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6B3F5C"/>
  </sheetPr>
  <dimension ref="B2:L47"/>
  <sheetViews>
    <sheetView showGridLines="0" tabSelected="1" workbookViewId="0">
      <pane xSplit="2" ySplit="5" topLeftCell="C6" activePane="bottomRight" state="frozen"/>
      <selection pane="topRight"/>
      <selection pane="bottomLeft"/>
      <selection pane="bottomRight"/>
    </sheetView>
  </sheetViews>
  <sheetFormatPr baseColWidth="10" defaultColWidth="8.83203125" defaultRowHeight="15" x14ac:dyDescent="0.2"/>
  <cols>
    <col min="1" max="1" width="2.1640625" customWidth="1"/>
    <col min="2" max="2" width="48" customWidth="1"/>
    <col min="3" max="8" width="13" customWidth="1"/>
    <col min="9" max="10" width="12.6640625" customWidth="1"/>
    <col min="11" max="11" width="2.1640625" customWidth="1"/>
    <col min="12" max="12" width="62" customWidth="1"/>
  </cols>
  <sheetData>
    <row r="2" spans="2:10" ht="21" customHeight="1" x14ac:dyDescent="0.25">
      <c r="B2" s="1" t="s">
        <v>447</v>
      </c>
    </row>
    <row r="3" spans="2:10" x14ac:dyDescent="0.2">
      <c r="B3" s="2" t="s">
        <v>448</v>
      </c>
    </row>
    <row r="5" spans="2:10" ht="15.5" customHeight="1" x14ac:dyDescent="0.2">
      <c r="B5" s="3" t="s">
        <v>449</v>
      </c>
      <c r="C5" s="3"/>
      <c r="D5" s="3"/>
      <c r="E5" s="3"/>
      <c r="F5" s="3"/>
      <c r="G5" s="3"/>
      <c r="H5" s="3"/>
      <c r="I5" s="3"/>
      <c r="J5" s="3"/>
    </row>
    <row r="6" spans="2:10" x14ac:dyDescent="0.2">
      <c r="B6" s="14" t="s">
        <v>450</v>
      </c>
      <c r="C6" s="51">
        <f>'Segment Build'!G8</f>
        <v>3696.0636599999998</v>
      </c>
    </row>
    <row r="7" spans="2:10" x14ac:dyDescent="0.2">
      <c r="B7" s="14" t="s">
        <v>451</v>
      </c>
      <c r="C7" s="51">
        <f>'Segment Build'!G18</f>
        <v>5230.2442499999997</v>
      </c>
    </row>
    <row r="8" spans="2:10" x14ac:dyDescent="0.2">
      <c r="B8" s="14" t="s">
        <v>452</v>
      </c>
      <c r="C8" s="55">
        <f>'Segment Build'!G9</f>
        <v>541.68114026510443</v>
      </c>
    </row>
    <row r="9" spans="2:10" x14ac:dyDescent="0.2">
      <c r="B9" s="14" t="s">
        <v>453</v>
      </c>
      <c r="C9" s="55">
        <f>'Segment Build'!G19</f>
        <v>485.17877889027159</v>
      </c>
    </row>
    <row r="10" spans="2:10" x14ac:dyDescent="0.2">
      <c r="B10" s="14" t="s">
        <v>454</v>
      </c>
      <c r="C10" s="55">
        <f>'Segment Build'!G12</f>
        <v>403.94247470398278</v>
      </c>
    </row>
    <row r="11" spans="2:10" x14ac:dyDescent="0.2">
      <c r="B11" s="14" t="s">
        <v>455</v>
      </c>
      <c r="C11" s="55">
        <f>'Segment Build'!G22</f>
        <v>368.11938508357349</v>
      </c>
    </row>
    <row r="12" spans="2:10" x14ac:dyDescent="0.2">
      <c r="B12" s="14" t="s">
        <v>277</v>
      </c>
      <c r="C12" s="51">
        <f>Assumptions!G28</f>
        <v>24000</v>
      </c>
    </row>
    <row r="13" spans="2:10" x14ac:dyDescent="0.2">
      <c r="B13" s="14" t="s">
        <v>278</v>
      </c>
      <c r="C13" s="51">
        <f>'Segment Build'!G29</f>
        <v>133712.19224999999</v>
      </c>
    </row>
    <row r="14" spans="2:10" x14ac:dyDescent="0.2">
      <c r="B14" s="14" t="s">
        <v>456</v>
      </c>
      <c r="C14" s="51">
        <f>IS!G36</f>
        <v>25255.598343685302</v>
      </c>
    </row>
    <row r="15" spans="2:10" x14ac:dyDescent="0.2">
      <c r="B15" s="14" t="s">
        <v>457</v>
      </c>
      <c r="C15" s="86">
        <f>Assumptions!G14</f>
        <v>3.15</v>
      </c>
    </row>
    <row r="16" spans="2:10" x14ac:dyDescent="0.2">
      <c r="B16" s="14" t="s">
        <v>124</v>
      </c>
      <c r="C16" s="86">
        <f>Assumptions!$C$9</f>
        <v>5.5</v>
      </c>
    </row>
    <row r="17" spans="2:10" x14ac:dyDescent="0.2">
      <c r="B17" s="14" t="s">
        <v>458</v>
      </c>
      <c r="C17" s="86">
        <f>Assumptions!$C$12</f>
        <v>0.93899999999999995</v>
      </c>
    </row>
    <row r="18" spans="2:10" x14ac:dyDescent="0.2">
      <c r="B18" s="14" t="s">
        <v>459</v>
      </c>
      <c r="C18" s="87">
        <f>Assumptions!$C$13</f>
        <v>0.9</v>
      </c>
    </row>
    <row r="19" spans="2:10" x14ac:dyDescent="0.2">
      <c r="B19" s="14" t="s">
        <v>460</v>
      </c>
      <c r="C19" s="86">
        <f>Assumptions!$C$15</f>
        <v>1.944</v>
      </c>
    </row>
    <row r="20" spans="2:10" x14ac:dyDescent="0.2">
      <c r="B20" s="14" t="s">
        <v>461</v>
      </c>
      <c r="C20" s="87">
        <f>Assumptions!$C$16</f>
        <v>1.2</v>
      </c>
    </row>
    <row r="21" spans="2:10" x14ac:dyDescent="0.2">
      <c r="B21" s="14" t="s">
        <v>462</v>
      </c>
      <c r="C21" s="86">
        <f>Assumptions!G30</f>
        <v>6</v>
      </c>
    </row>
    <row r="22" spans="2:10" x14ac:dyDescent="0.2">
      <c r="B22" s="14" t="s">
        <v>146</v>
      </c>
      <c r="C22" s="86">
        <f>Assumptions!G31</f>
        <v>2.72</v>
      </c>
    </row>
    <row r="23" spans="2:10" x14ac:dyDescent="0.2">
      <c r="B23" s="14" t="s">
        <v>154</v>
      </c>
      <c r="C23" s="86">
        <f>Assumptions!$C$37</f>
        <v>54.5</v>
      </c>
    </row>
    <row r="24" spans="2:10" x14ac:dyDescent="0.2">
      <c r="B24" s="14" t="s">
        <v>216</v>
      </c>
      <c r="C24" s="51">
        <f>Assumptions!G32</f>
        <v>-96500</v>
      </c>
    </row>
    <row r="25" spans="2:10" x14ac:dyDescent="0.2">
      <c r="B25" s="14" t="s">
        <v>463</v>
      </c>
      <c r="C25" s="51">
        <f>Assumptions!G33</f>
        <v>9000</v>
      </c>
    </row>
    <row r="26" spans="2:10" x14ac:dyDescent="0.2">
      <c r="B26" s="14" t="s">
        <v>464</v>
      </c>
      <c r="C26" s="51">
        <f>Assumptions!G34</f>
        <v>16000</v>
      </c>
    </row>
    <row r="27" spans="2:10" x14ac:dyDescent="0.2">
      <c r="B27" s="14" t="s">
        <v>465</v>
      </c>
      <c r="C27" s="86">
        <f>Assumptions!$C$38</f>
        <v>23.5</v>
      </c>
    </row>
    <row r="28" spans="2:10" x14ac:dyDescent="0.2">
      <c r="B28" s="14" t="s">
        <v>466</v>
      </c>
      <c r="C28" s="86">
        <f>Assumptions!$C$35</f>
        <v>7</v>
      </c>
    </row>
    <row r="29" spans="2:10" x14ac:dyDescent="0.2">
      <c r="B29" s="14" t="s">
        <v>467</v>
      </c>
      <c r="C29" s="88">
        <f>Assumptions!$C$36</f>
        <v>65</v>
      </c>
    </row>
    <row r="30" spans="2:10" ht="6" customHeight="1" x14ac:dyDescent="0.2"/>
    <row r="31" spans="2:10" ht="15.5" customHeight="1" x14ac:dyDescent="0.2">
      <c r="B31" s="3" t="s">
        <v>468</v>
      </c>
      <c r="C31" s="3"/>
      <c r="D31" s="3"/>
      <c r="E31" s="3"/>
      <c r="F31" s="3"/>
      <c r="G31" s="3"/>
      <c r="H31" s="3"/>
      <c r="I31" s="3"/>
      <c r="J31" s="3"/>
    </row>
    <row r="32" spans="2:10" x14ac:dyDescent="0.2">
      <c r="B32" s="32" t="s">
        <v>469</v>
      </c>
      <c r="C32" s="67">
        <v>0.5</v>
      </c>
      <c r="D32" s="67">
        <v>1.7</v>
      </c>
      <c r="E32" s="67">
        <v>2.97</v>
      </c>
      <c r="F32" s="67">
        <v>4.2</v>
      </c>
      <c r="G32" s="67">
        <v>5.5</v>
      </c>
    </row>
    <row r="33" spans="2:12" ht="39" x14ac:dyDescent="0.2">
      <c r="B33" s="67">
        <v>5.5</v>
      </c>
      <c r="C33" s="11">
        <f>((((((($C$6*($C$8*(1-($C$17+$C$18*MAX(0,$B$33-$C$16)+$C$15)/100)))+$C$12*(1-$C$29/100))+(($C$7*($C$9*(1-($C$19+$C$20*MAX(0,$B$33-$C$16)+C$32)/100)))+$C$12*$C$29/100))+$C$13)-($C$6*$C$10+$C$7*$C$11+$C$12*(1-$C$28/100)+$C$25)-(((($C$6*($C$8*(1-($C$17+$C$18*MAX(0,$B$33-$C$16)+$C$15)/100)))+$C$12*(1-$C$29/100))+(($C$7*($C$9*(1-($C$19+$C$20*MAX(0,$B$33-$C$16)+C$32)/100)))+$C$12*$C$29/100))*$C$21/100)-(((($C$6*($C$8*(1-($C$17+$C$18*MAX(0,$B$33-$C$16)+$C$15)/100)))+$C$12*(1-$C$29/100))+(($C$7*($C$9*(1-($C$19+$C$20*MAX(0,$B$33-$C$16)+C$32)/100)))+$C$12*$C$29/100))*$C$22/100+$C$13*(1-$C$23/100))+$C$24)+$C$26)*(1-$C$27/100))/$C$14</f>
        <v>17.480590305125503</v>
      </c>
      <c r="D33" s="11">
        <f>((((((($C$6*($C$8*(1-($C$17+$C$18*MAX(0,$B$33-$C$16)+$C$15)/100)))+$C$12*(1-$C$29/100))+(($C$7*($C$9*(1-($C$19+$C$20*MAX(0,$B$33-$C$16)+D$32)/100)))+$C$12*$C$29/100))+$C$13)-($C$6*$C$10+$C$7*$C$11+$C$12*(1-$C$28/100)+$C$25)-(((($C$6*($C$8*(1-($C$17+$C$18*MAX(0,$B$33-$C$16)+$C$15)/100)))+$C$12*(1-$C$29/100))+(($C$7*($C$9*(1-($C$19+$C$20*MAX(0,$B$33-$C$16)+D$32)/100)))+$C$12*$C$29/100))*$C$21/100)-(((($C$6*($C$8*(1-($C$17+$C$18*MAX(0,$B$33-$C$16)+$C$15)/100)))+$C$12*(1-$C$29/100))+(($C$7*($C$9*(1-($C$19+$C$20*MAX(0,$B$33-$C$16)+D$32)/100)))+$C$12*$C$29/100))*$C$22/100+$C$13*(1-$C$23/100))+$C$24)+$C$26)*(1-$C$27/100))/$C$14</f>
        <v>16.638643955471526</v>
      </c>
      <c r="E33" s="11">
        <f>((((((($C$6*($C$8*(1-($C$17+$C$18*MAX(0,$B$33-$C$16)+$C$15)/100)))+$C$12*(1-$C$29/100))+(($C$7*($C$9*(1-($C$19+$C$20*MAX(0,$B$33-$C$16)+E$32)/100)))+$C$12*$C$29/100))+$C$13)-($C$6*$C$10+$C$7*$C$11+$C$12*(1-$C$28/100)+$C$25)-(((($C$6*($C$8*(1-($C$17+$C$18*MAX(0,$B$33-$C$16)+$C$15)/100)))+$C$12*(1-$C$29/100))+(($C$7*($C$9*(1-($C$19+$C$20*MAX(0,$B$33-$C$16)+E$32)/100)))+$C$12*$C$29/100))*$C$21/100)-(((($C$6*($C$8*(1-($C$17+$C$18*MAX(0,$B$33-$C$16)+$C$15)/100)))+$C$12*(1-$C$29/100))+(($C$7*($C$9*(1-($C$19+$C$20*MAX(0,$B$33-$C$16)+E$32)/100)))+$C$12*$C$29/100))*$C$22/100+$C$13*(1-$C$23/100))+$C$24)+$C$26)*(1-$C$27/100))/$C$14</f>
        <v>15.747584068754424</v>
      </c>
      <c r="F33" s="11">
        <f>((((((($C$6*($C$8*(1-($C$17+$C$18*MAX(0,$B$33-$C$16)+$C$15)/100)))+$C$12*(1-$C$29/100))+(($C$7*($C$9*(1-($C$19+$C$20*MAX(0,$B$33-$C$16)+F$32)/100)))+$C$12*$C$29/100))+$C$13)-($C$6*$C$10+$C$7*$C$11+$C$12*(1-$C$28/100)+$C$25)-(((($C$6*($C$8*(1-($C$17+$C$18*MAX(0,$B$33-$C$16)+$C$15)/100)))+$C$12*(1-$C$29/100))+(($C$7*($C$9*(1-($C$19+$C$20*MAX(0,$B$33-$C$16)+F$32)/100)))+$C$12*$C$29/100))*$C$21/100)-(((($C$6*($C$8*(1-($C$17+$C$18*MAX(0,$B$33-$C$16)+$C$15)/100)))+$C$12*(1-$C$29/100))+(($C$7*($C$9*(1-($C$19+$C$20*MAX(0,$B$33-$C$16)+F$32)/100)))+$C$12*$C$29/100))*$C$22/100+$C$13*(1-$C$23/100))+$C$24)+$C$26)*(1-$C$27/100))/$C$14</f>
        <v>14.884589060359076</v>
      </c>
      <c r="G33" s="11">
        <f>((((((($C$6*($C$8*(1-($C$17+$C$18*MAX(0,$B$33-$C$16)+$C$15)/100)))+$C$12*(1-$C$29/100))+(($C$7*($C$9*(1-($C$19+$C$20*MAX(0,$B$33-$C$16)+G$32)/100)))+$C$12*$C$29/100))+$C$13)-($C$6*$C$10+$C$7*$C$11+$C$12*(1-$C$28/100)+$C$25)-(((($C$6*($C$8*(1-($C$17+$C$18*MAX(0,$B$33-$C$16)+$C$15)/100)))+$C$12*(1-$C$29/100))+(($C$7*($C$9*(1-($C$19+$C$20*MAX(0,$B$33-$C$16)+G$32)/100)))+$C$12*$C$29/100))*$C$21/100)-(((($C$6*($C$8*(1-($C$17+$C$18*MAX(0,$B$33-$C$16)+$C$15)/100)))+$C$12*(1-$C$29/100))+(($C$7*($C$9*(1-($C$19+$C$20*MAX(0,$B$33-$C$16)+G$32)/100)))+$C$12*$C$29/100))*$C$22/100+$C$13*(1-$C$23/100))+$C$24)+$C$26)*(1-$C$27/100))/$C$14</f>
        <v>13.97248051490063</v>
      </c>
      <c r="L33" s="9" t="s">
        <v>470</v>
      </c>
    </row>
    <row r="34" spans="2:12" x14ac:dyDescent="0.2">
      <c r="B34" s="67">
        <v>6</v>
      </c>
      <c r="C34" s="11">
        <f>((((((($C$6*($C$8*(1-($C$17+$C$18*MAX(0,$B$34-$C$16)+$C$15)/100)))+$C$12*(1-$C$29/100))+(($C$7*($C$9*(1-($C$19+$C$20*MAX(0,$B$34-$C$16)+C$32)/100)))+$C$12*$C$29/100))+$C$13)-($C$6*$C$10+$C$7*$C$11+$C$12*(1-$C$28/100)+$C$25)-(((($C$6*($C$8*(1-($C$17+$C$18*MAX(0,$B$34-$C$16)+$C$15)/100)))+$C$12*(1-$C$29/100))+(($C$7*($C$9*(1-($C$19+$C$20*MAX(0,$B$34-$C$16)+C$32)/100)))+$C$12*$C$29/100))*$C$21/100)-(((($C$6*($C$8*(1-($C$17+$C$18*MAX(0,$B$34-$C$16)+$C$15)/100)))+$C$12*(1-$C$29/100))+(($C$7*($C$9*(1-($C$19+$C$20*MAX(0,$B$34-$C$16)+C$32)/100)))+$C$12*$C$29/100))*$C$22/100+$C$13*(1-$C$23/100))+$C$24)+$C$26)*(1-$C$27/100))/$C$14</f>
        <v>16.810516356822887</v>
      </c>
      <c r="D34" s="11">
        <f>((((((($C$6*($C$8*(1-($C$17+$C$18*MAX(0,$B$34-$C$16)+$C$15)/100)))+$C$12*(1-$C$29/100))+(($C$7*($C$9*(1-($C$19+$C$20*MAX(0,$B$34-$C$16)+D$32)/100)))+$C$12*$C$29/100))+$C$13)-($C$6*$C$10+$C$7*$C$11+$C$12*(1-$C$28/100)+$C$25)-(((($C$6*($C$8*(1-($C$17+$C$18*MAX(0,$B$34-$C$16)+$C$15)/100)))+$C$12*(1-$C$29/100))+(($C$7*($C$9*(1-($C$19+$C$20*MAX(0,$B$34-$C$16)+D$32)/100)))+$C$12*$C$29/100))*$C$21/100)-(((($C$6*($C$8*(1-($C$17+$C$18*MAX(0,$B$34-$C$16)+$C$15)/100)))+$C$12*(1-$C$29/100))+(($C$7*($C$9*(1-($C$19+$C$20*MAX(0,$B$34-$C$16)+D$32)/100)))+$C$12*$C$29/100))*$C$22/100+$C$13*(1-$C$23/100))+$C$24)+$C$26)*(1-$C$27/100))/$C$14</f>
        <v>15.968570007168911</v>
      </c>
      <c r="E34" s="11">
        <f>((((((($C$6*($C$8*(1-($C$17+$C$18*MAX(0,$B$34-$C$16)+$C$15)/100)))+$C$12*(1-$C$29/100))+(($C$7*($C$9*(1-($C$19+$C$20*MAX(0,$B$34-$C$16)+E$32)/100)))+$C$12*$C$29/100))+$C$13)-($C$6*$C$10+$C$7*$C$11+$C$12*(1-$C$28/100)+$C$25)-(((($C$6*($C$8*(1-($C$17+$C$18*MAX(0,$B$34-$C$16)+$C$15)/100)))+$C$12*(1-$C$29/100))+(($C$7*($C$9*(1-($C$19+$C$20*MAX(0,$B$34-$C$16)+E$32)/100)))+$C$12*$C$29/100))*$C$21/100)-(((($C$6*($C$8*(1-($C$17+$C$18*MAX(0,$B$34-$C$16)+$C$15)/100)))+$C$12*(1-$C$29/100))+(($C$7*($C$9*(1-($C$19+$C$20*MAX(0,$B$34-$C$16)+E$32)/100)))+$C$12*$C$29/100))*$C$22/100+$C$13*(1-$C$23/100))+$C$24)+$C$26)*(1-$C$27/100))/$C$14</f>
        <v>15.077510120451789</v>
      </c>
      <c r="F34" s="11">
        <f>((((((($C$6*($C$8*(1-($C$17+$C$18*MAX(0,$B$34-$C$16)+$C$15)/100)))+$C$12*(1-$C$29/100))+(($C$7*($C$9*(1-($C$19+$C$20*MAX(0,$B$34-$C$16)+F$32)/100)))+$C$12*$C$29/100))+$C$13)-($C$6*$C$10+$C$7*$C$11+$C$12*(1-$C$28/100)+$C$25)-(((($C$6*($C$8*(1-($C$17+$C$18*MAX(0,$B$34-$C$16)+$C$15)/100)))+$C$12*(1-$C$29/100))+(($C$7*($C$9*(1-($C$19+$C$20*MAX(0,$B$34-$C$16)+F$32)/100)))+$C$12*$C$29/100))*$C$21/100)-(((($C$6*($C$8*(1-($C$17+$C$18*MAX(0,$B$34-$C$16)+$C$15)/100)))+$C$12*(1-$C$29/100))+(($C$7*($C$9*(1-($C$19+$C$20*MAX(0,$B$34-$C$16)+F$32)/100)))+$C$12*$C$29/100))*$C$22/100+$C$13*(1-$C$23/100))+$C$24)+$C$26)*(1-$C$27/100))/$C$14</f>
        <v>14.214515112056471</v>
      </c>
      <c r="G34" s="11">
        <f>((((((($C$6*($C$8*(1-($C$17+$C$18*MAX(0,$B$34-$C$16)+$C$15)/100)))+$C$12*(1-$C$29/100))+(($C$7*($C$9*(1-($C$19+$C$20*MAX(0,$B$34-$C$16)+G$32)/100)))+$C$12*$C$29/100))+$C$13)-($C$6*$C$10+$C$7*$C$11+$C$12*(1-$C$28/100)+$C$25)-(((($C$6*($C$8*(1-($C$17+$C$18*MAX(0,$B$34-$C$16)+$C$15)/100)))+$C$12*(1-$C$29/100))+(($C$7*($C$9*(1-($C$19+$C$20*MAX(0,$B$34-$C$16)+G$32)/100)))+$C$12*$C$29/100))*$C$21/100)-(((($C$6*($C$8*(1-($C$17+$C$18*MAX(0,$B$34-$C$16)+$C$15)/100)))+$C$12*(1-$C$29/100))+(($C$7*($C$9*(1-($C$19+$C$20*MAX(0,$B$34-$C$16)+G$32)/100)))+$C$12*$C$29/100))*$C$22/100+$C$13*(1-$C$23/100))+$C$24)+$C$26)*(1-$C$27/100))/$C$14</f>
        <v>13.302406566597998</v>
      </c>
    </row>
    <row r="35" spans="2:12" x14ac:dyDescent="0.2">
      <c r="B35" s="67">
        <v>6.35</v>
      </c>
      <c r="C35" s="11">
        <f>((((((($C$6*($C$8*(1-($C$17+$C$18*MAX(0,$B$35-$C$16)+$C$15)/100)))+$C$12*(1-$C$29/100))+(($C$7*($C$9*(1-($C$19+$C$20*MAX(0,$B$35-$C$16)+C$32)/100)))+$C$12*$C$29/100))+$C$13)-($C$6*$C$10+$C$7*$C$11+$C$12*(1-$C$28/100)+$C$25)-(((($C$6*($C$8*(1-($C$17+$C$18*MAX(0,$B$35-$C$16)+$C$15)/100)))+$C$12*(1-$C$29/100))+(($C$7*($C$9*(1-($C$19+$C$20*MAX(0,$B$35-$C$16)+C$32)/100)))+$C$12*$C$29/100))*$C$21/100)-(((($C$6*($C$8*(1-($C$17+$C$18*MAX(0,$B$35-$C$16)+$C$15)/100)))+$C$12*(1-$C$29/100))+(($C$7*($C$9*(1-($C$19+$C$20*MAX(0,$B$35-$C$16)+C$32)/100)))+$C$12*$C$29/100))*$C$22/100+$C$13*(1-$C$23/100))+$C$24)+$C$26)*(1-$C$27/100))/$C$14</f>
        <v>16.341464593011025</v>
      </c>
      <c r="D35" s="11">
        <f>((((((($C$6*($C$8*(1-($C$17+$C$18*MAX(0,$B$35-$C$16)+$C$15)/100)))+$C$12*(1-$C$29/100))+(($C$7*($C$9*(1-($C$19+$C$20*MAX(0,$B$35-$C$16)+D$32)/100)))+$C$12*$C$29/100))+$C$13)-($C$6*$C$10+$C$7*$C$11+$C$12*(1-$C$28/100)+$C$25)-(((($C$6*($C$8*(1-($C$17+$C$18*MAX(0,$B$35-$C$16)+$C$15)/100)))+$C$12*(1-$C$29/100))+(($C$7*($C$9*(1-($C$19+$C$20*MAX(0,$B$35-$C$16)+D$32)/100)))+$C$12*$C$29/100))*$C$21/100)-(((($C$6*($C$8*(1-($C$17+$C$18*MAX(0,$B$35-$C$16)+$C$15)/100)))+$C$12*(1-$C$29/100))+(($C$7*($C$9*(1-($C$19+$C$20*MAX(0,$B$35-$C$16)+D$32)/100)))+$C$12*$C$29/100))*$C$22/100+$C$13*(1-$C$23/100))+$C$24)+$C$26)*(1-$C$27/100))/$C$14</f>
        <v>15.49951824335708</v>
      </c>
      <c r="E35" s="8">
        <f>((((((($C$6*($C$8*(1-($C$17+$C$18*MAX(0,$B$35-$C$16)+$C$15)/100)))+$C$12*(1-$C$29/100))+(($C$7*($C$9*(1-($C$19+$C$20*MAX(0,$B$35-$C$16)+E$32)/100)))+$C$12*$C$29/100))+$C$13)-($C$6*$C$10+$C$7*$C$11+$C$12*(1-$C$28/100)+$C$25)-(((($C$6*($C$8*(1-($C$17+$C$18*MAX(0,$B$35-$C$16)+$C$15)/100)))+$C$12*(1-$C$29/100))+(($C$7*($C$9*(1-($C$19+$C$20*MAX(0,$B$35-$C$16)+E$32)/100)))+$C$12*$C$29/100))*$C$21/100)-(((($C$6*($C$8*(1-($C$17+$C$18*MAX(0,$B$35-$C$16)+$C$15)/100)))+$C$12*(1-$C$29/100))+(($C$7*($C$9*(1-($C$19+$C$20*MAX(0,$B$35-$C$16)+E$32)/100)))+$C$12*$C$29/100))*$C$22/100+$C$13*(1-$C$23/100))+$C$24)+$C$26)*(1-$C$27/100))/$C$14</f>
        <v>14.608458356639952</v>
      </c>
      <c r="F35" s="11">
        <f>((((((($C$6*($C$8*(1-($C$17+$C$18*MAX(0,$B$35-$C$16)+$C$15)/100)))+$C$12*(1-$C$29/100))+(($C$7*($C$9*(1-($C$19+$C$20*MAX(0,$B$35-$C$16)+F$32)/100)))+$C$12*$C$29/100))+$C$13)-($C$6*$C$10+$C$7*$C$11+$C$12*(1-$C$28/100)+$C$25)-(((($C$6*($C$8*(1-($C$17+$C$18*MAX(0,$B$35-$C$16)+$C$15)/100)))+$C$12*(1-$C$29/100))+(($C$7*($C$9*(1-($C$19+$C$20*MAX(0,$B$35-$C$16)+F$32)/100)))+$C$12*$C$29/100))*$C$21/100)-(((($C$6*($C$8*(1-($C$17+$C$18*MAX(0,$B$35-$C$16)+$C$15)/100)))+$C$12*(1-$C$29/100))+(($C$7*($C$9*(1-($C$19+$C$20*MAX(0,$B$35-$C$16)+F$32)/100)))+$C$12*$C$29/100))*$C$22/100+$C$13*(1-$C$23/100))+$C$24)+$C$26)*(1-$C$27/100))/$C$14</f>
        <v>13.745463348244607</v>
      </c>
      <c r="G35" s="11">
        <f>((((((($C$6*($C$8*(1-($C$17+$C$18*MAX(0,$B$35-$C$16)+$C$15)/100)))+$C$12*(1-$C$29/100))+(($C$7*($C$9*(1-($C$19+$C$20*MAX(0,$B$35-$C$16)+G$32)/100)))+$C$12*$C$29/100))+$C$13)-($C$6*$C$10+$C$7*$C$11+$C$12*(1-$C$28/100)+$C$25)-(((($C$6*($C$8*(1-($C$17+$C$18*MAX(0,$B$35-$C$16)+$C$15)/100)))+$C$12*(1-$C$29/100))+(($C$7*($C$9*(1-($C$19+$C$20*MAX(0,$B$35-$C$16)+G$32)/100)))+$C$12*$C$29/100))*$C$21/100)-(((($C$6*($C$8*(1-($C$17+$C$18*MAX(0,$B$35-$C$16)+$C$15)/100)))+$C$12*(1-$C$29/100))+(($C$7*($C$9*(1-($C$19+$C$20*MAX(0,$B$35-$C$16)+G$32)/100)))+$C$12*$C$29/100))*$C$22/100+$C$13*(1-$C$23/100))+$C$24)+$C$26)*(1-$C$27/100))/$C$14</f>
        <v>12.833354802786163</v>
      </c>
    </row>
    <row r="36" spans="2:12" x14ac:dyDescent="0.2">
      <c r="B36" s="67">
        <v>6.75</v>
      </c>
      <c r="C36" s="11">
        <f>((((((($C$6*($C$8*(1-($C$17+$C$18*MAX(0,$B$36-$C$16)+$C$15)/100)))+$C$12*(1-$C$29/100))+(($C$7*($C$9*(1-($C$19+$C$20*MAX(0,$B$36-$C$16)+C$32)/100)))+$C$12*$C$29/100))+$C$13)-($C$6*$C$10+$C$7*$C$11+$C$12*(1-$C$28/100)+$C$25)-(((($C$6*($C$8*(1-($C$17+$C$18*MAX(0,$B$36-$C$16)+$C$15)/100)))+$C$12*(1-$C$29/100))+(($C$7*($C$9*(1-($C$19+$C$20*MAX(0,$B$36-$C$16)+C$32)/100)))+$C$12*$C$29/100))*$C$21/100)-(((($C$6*($C$8*(1-($C$17+$C$18*MAX(0,$B$36-$C$16)+$C$15)/100)))+$C$12*(1-$C$29/100))+(($C$7*($C$9*(1-($C$19+$C$20*MAX(0,$B$36-$C$16)+C$32)/100)))+$C$12*$C$29/100))*$C$22/100+$C$13*(1-$C$23/100))+$C$24)+$C$26)*(1-$C$27/100))/$C$14</f>
        <v>15.805405434368931</v>
      </c>
      <c r="D36" s="11">
        <f>((((((($C$6*($C$8*(1-($C$17+$C$18*MAX(0,$B$36-$C$16)+$C$15)/100)))+$C$12*(1-$C$29/100))+(($C$7*($C$9*(1-($C$19+$C$20*MAX(0,$B$36-$C$16)+D$32)/100)))+$C$12*$C$29/100))+$C$13)-($C$6*$C$10+$C$7*$C$11+$C$12*(1-$C$28/100)+$C$25)-(((($C$6*($C$8*(1-($C$17+$C$18*MAX(0,$B$36-$C$16)+$C$15)/100)))+$C$12*(1-$C$29/100))+(($C$7*($C$9*(1-($C$19+$C$20*MAX(0,$B$36-$C$16)+D$32)/100)))+$C$12*$C$29/100))*$C$21/100)-(((($C$6*($C$8*(1-($C$17+$C$18*MAX(0,$B$36-$C$16)+$C$15)/100)))+$C$12*(1-$C$29/100))+(($C$7*($C$9*(1-($C$19+$C$20*MAX(0,$B$36-$C$16)+D$32)/100)))+$C$12*$C$29/100))*$C$22/100+$C$13*(1-$C$23/100))+$C$24)+$C$26)*(1-$C$27/100))/$C$14</f>
        <v>14.963459084714957</v>
      </c>
      <c r="E36" s="11">
        <f>((((((($C$6*($C$8*(1-($C$17+$C$18*MAX(0,$B$36-$C$16)+$C$15)/100)))+$C$12*(1-$C$29/100))+(($C$7*($C$9*(1-($C$19+$C$20*MAX(0,$B$36-$C$16)+E$32)/100)))+$C$12*$C$29/100))+$C$13)-($C$6*$C$10+$C$7*$C$11+$C$12*(1-$C$28/100)+$C$25)-(((($C$6*($C$8*(1-($C$17+$C$18*MAX(0,$B$36-$C$16)+$C$15)/100)))+$C$12*(1-$C$29/100))+(($C$7*($C$9*(1-($C$19+$C$20*MAX(0,$B$36-$C$16)+E$32)/100)))+$C$12*$C$29/100))*$C$21/100)-(((($C$6*($C$8*(1-($C$17+$C$18*MAX(0,$B$36-$C$16)+$C$15)/100)))+$C$12*(1-$C$29/100))+(($C$7*($C$9*(1-($C$19+$C$20*MAX(0,$B$36-$C$16)+E$32)/100)))+$C$12*$C$29/100))*$C$22/100+$C$13*(1-$C$23/100))+$C$24)+$C$26)*(1-$C$27/100))/$C$14</f>
        <v>14.072399197997861</v>
      </c>
      <c r="F36" s="11">
        <f>((((((($C$6*($C$8*(1-($C$17+$C$18*MAX(0,$B$36-$C$16)+$C$15)/100)))+$C$12*(1-$C$29/100))+(($C$7*($C$9*(1-($C$19+$C$20*MAX(0,$B$36-$C$16)+F$32)/100)))+$C$12*$C$29/100))+$C$13)-($C$6*$C$10+$C$7*$C$11+$C$12*(1-$C$28/100)+$C$25)-(((($C$6*($C$8*(1-($C$17+$C$18*MAX(0,$B$36-$C$16)+$C$15)/100)))+$C$12*(1-$C$29/100))+(($C$7*($C$9*(1-($C$19+$C$20*MAX(0,$B$36-$C$16)+F$32)/100)))+$C$12*$C$29/100))*$C$21/100)-(((($C$6*($C$8*(1-($C$17+$C$18*MAX(0,$B$36-$C$16)+$C$15)/100)))+$C$12*(1-$C$29/100))+(($C$7*($C$9*(1-($C$19+$C$20*MAX(0,$B$36-$C$16)+F$32)/100)))+$C$12*$C$29/100))*$C$22/100+$C$13*(1-$C$23/100))+$C$24)+$C$26)*(1-$C$27/100))/$C$14</f>
        <v>13.209404189602539</v>
      </c>
      <c r="G36" s="11">
        <f>((((((($C$6*($C$8*(1-($C$17+$C$18*MAX(0,$B$36-$C$16)+$C$15)/100)))+$C$12*(1-$C$29/100))+(($C$7*($C$9*(1-($C$19+$C$20*MAX(0,$B$36-$C$16)+G$32)/100)))+$C$12*$C$29/100))+$C$13)-($C$6*$C$10+$C$7*$C$11+$C$12*(1-$C$28/100)+$C$25)-(((($C$6*($C$8*(1-($C$17+$C$18*MAX(0,$B$36-$C$16)+$C$15)/100)))+$C$12*(1-$C$29/100))+(($C$7*($C$9*(1-($C$19+$C$20*MAX(0,$B$36-$C$16)+G$32)/100)))+$C$12*$C$29/100))*$C$21/100)-(((($C$6*($C$8*(1-($C$17+$C$18*MAX(0,$B$36-$C$16)+$C$15)/100)))+$C$12*(1-$C$29/100))+(($C$7*($C$9*(1-($C$19+$C$20*MAX(0,$B$36-$C$16)+G$32)/100)))+$C$12*$C$29/100))*$C$22/100+$C$13*(1-$C$23/100))+$C$24)+$C$26)*(1-$C$27/100))/$C$14</f>
        <v>12.297295644144066</v>
      </c>
    </row>
    <row r="37" spans="2:12" x14ac:dyDescent="0.2">
      <c r="B37" s="67">
        <v>7.25</v>
      </c>
      <c r="C37" s="11">
        <f>((((((($C$6*($C$8*(1-($C$17+$C$18*MAX(0,$B$37-$C$16)+$C$15)/100)))+$C$12*(1-$C$29/100))+(($C$7*($C$9*(1-($C$19+$C$20*MAX(0,$B$37-$C$16)+C$32)/100)))+$C$12*$C$29/100))+$C$13)-($C$6*$C$10+$C$7*$C$11+$C$12*(1-$C$28/100)+$C$25)-(((($C$6*($C$8*(1-($C$17+$C$18*MAX(0,$B$37-$C$16)+$C$15)/100)))+$C$12*(1-$C$29/100))+(($C$7*($C$9*(1-($C$19+$C$20*MAX(0,$B$37-$C$16)+C$32)/100)))+$C$12*$C$29/100))*$C$21/100)-(((($C$6*($C$8*(1-($C$17+$C$18*MAX(0,$B$37-$C$16)+$C$15)/100)))+$C$12*(1-$C$29/100))+(($C$7*($C$9*(1-($C$19+$C$20*MAX(0,$B$37-$C$16)+C$32)/100)))+$C$12*$C$29/100))*$C$22/100+$C$13*(1-$C$23/100))+$C$24)+$C$26)*(1-$C$27/100))/$C$14</f>
        <v>15.135331486066296</v>
      </c>
      <c r="D37" s="11">
        <f>((((((($C$6*($C$8*(1-($C$17+$C$18*MAX(0,$B$37-$C$16)+$C$15)/100)))+$C$12*(1-$C$29/100))+(($C$7*($C$9*(1-($C$19+$C$20*MAX(0,$B$37-$C$16)+D$32)/100)))+$C$12*$C$29/100))+$C$13)-($C$6*$C$10+$C$7*$C$11+$C$12*(1-$C$28/100)+$C$25)-(((($C$6*($C$8*(1-($C$17+$C$18*MAX(0,$B$37-$C$16)+$C$15)/100)))+$C$12*(1-$C$29/100))+(($C$7*($C$9*(1-($C$19+$C$20*MAX(0,$B$37-$C$16)+D$32)/100)))+$C$12*$C$29/100))*$C$21/100)-(((($C$6*($C$8*(1-($C$17+$C$18*MAX(0,$B$37-$C$16)+$C$15)/100)))+$C$12*(1-$C$29/100))+(($C$7*($C$9*(1-($C$19+$C$20*MAX(0,$B$37-$C$16)+D$32)/100)))+$C$12*$C$29/100))*$C$22/100+$C$13*(1-$C$23/100))+$C$24)+$C$26)*(1-$C$27/100))/$C$14</f>
        <v>14.293385136412347</v>
      </c>
      <c r="E37" s="11">
        <f>((((((($C$6*($C$8*(1-($C$17+$C$18*MAX(0,$B$37-$C$16)+$C$15)/100)))+$C$12*(1-$C$29/100))+(($C$7*($C$9*(1-($C$19+$C$20*MAX(0,$B$37-$C$16)+E$32)/100)))+$C$12*$C$29/100))+$C$13)-($C$6*$C$10+$C$7*$C$11+$C$12*(1-$C$28/100)+$C$25)-(((($C$6*($C$8*(1-($C$17+$C$18*MAX(0,$B$37-$C$16)+$C$15)/100)))+$C$12*(1-$C$29/100))+(($C$7*($C$9*(1-($C$19+$C$20*MAX(0,$B$37-$C$16)+E$32)/100)))+$C$12*$C$29/100))*$C$21/100)-(((($C$6*($C$8*(1-($C$17+$C$18*MAX(0,$B$37-$C$16)+$C$15)/100)))+$C$12*(1-$C$29/100))+(($C$7*($C$9*(1-($C$19+$C$20*MAX(0,$B$37-$C$16)+E$32)/100)))+$C$12*$C$29/100))*$C$22/100+$C$13*(1-$C$23/100))+$C$24)+$C$26)*(1-$C$27/100))/$C$14</f>
        <v>13.402325249695224</v>
      </c>
      <c r="F37" s="11">
        <f>((((((($C$6*($C$8*(1-($C$17+$C$18*MAX(0,$B$37-$C$16)+$C$15)/100)))+$C$12*(1-$C$29/100))+(($C$7*($C$9*(1-($C$19+$C$20*MAX(0,$B$37-$C$16)+F$32)/100)))+$C$12*$C$29/100))+$C$13)-($C$6*$C$10+$C$7*$C$11+$C$12*(1-$C$28/100)+$C$25)-(((($C$6*($C$8*(1-($C$17+$C$18*MAX(0,$B$37-$C$16)+$C$15)/100)))+$C$12*(1-$C$29/100))+(($C$7*($C$9*(1-($C$19+$C$20*MAX(0,$B$37-$C$16)+F$32)/100)))+$C$12*$C$29/100))*$C$21/100)-(((($C$6*($C$8*(1-($C$17+$C$18*MAX(0,$B$37-$C$16)+$C$15)/100)))+$C$12*(1-$C$29/100))+(($C$7*($C$9*(1-($C$19+$C$20*MAX(0,$B$37-$C$16)+F$32)/100)))+$C$12*$C$29/100))*$C$22/100+$C$13*(1-$C$23/100))+$C$24)+$C$26)*(1-$C$27/100))/$C$14</f>
        <v>12.539330241299904</v>
      </c>
      <c r="G37" s="11">
        <f>((((((($C$6*($C$8*(1-($C$17+$C$18*MAX(0,$B$37-$C$16)+$C$15)/100)))+$C$12*(1-$C$29/100))+(($C$7*($C$9*(1-($C$19+$C$20*MAX(0,$B$37-$C$16)+G$32)/100)))+$C$12*$C$29/100))+$C$13)-($C$6*$C$10+$C$7*$C$11+$C$12*(1-$C$28/100)+$C$25)-(((($C$6*($C$8*(1-($C$17+$C$18*MAX(0,$B$37-$C$16)+$C$15)/100)))+$C$12*(1-$C$29/100))+(($C$7*($C$9*(1-($C$19+$C$20*MAX(0,$B$37-$C$16)+G$32)/100)))+$C$12*$C$29/100))*$C$21/100)-(((($C$6*($C$8*(1-($C$17+$C$18*MAX(0,$B$37-$C$16)+$C$15)/100)))+$C$12*(1-$C$29/100))+(($C$7*($C$9*(1-($C$19+$C$20*MAX(0,$B$37-$C$16)+G$32)/100)))+$C$12*$C$29/100))*$C$22/100+$C$13*(1-$C$23/100))+$C$24)+$C$26)*(1-$C$27/100))/$C$14</f>
        <v>11.627221695841458</v>
      </c>
    </row>
    <row r="38" spans="2:12" ht="14" customHeight="1" x14ac:dyDescent="0.2"/>
    <row r="39" spans="2:12" ht="15.5" customHeight="1" x14ac:dyDescent="0.2">
      <c r="B39" s="3" t="s">
        <v>471</v>
      </c>
      <c r="C39" s="3"/>
      <c r="D39" s="3"/>
      <c r="E39" s="3"/>
      <c r="F39" s="3"/>
      <c r="G39" s="3"/>
      <c r="H39" s="3"/>
      <c r="I39" s="3"/>
      <c r="J39" s="3"/>
    </row>
    <row r="40" spans="2:12" x14ac:dyDescent="0.2">
      <c r="B40" s="32" t="s">
        <v>469</v>
      </c>
      <c r="C40" s="67">
        <v>0.5</v>
      </c>
      <c r="D40" s="67">
        <v>1.7</v>
      </c>
      <c r="E40" s="67">
        <v>2.97</v>
      </c>
      <c r="F40" s="67">
        <v>4.2</v>
      </c>
      <c r="G40" s="67">
        <v>5.5</v>
      </c>
    </row>
    <row r="41" spans="2:12" ht="26" x14ac:dyDescent="0.2">
      <c r="B41" s="67">
        <v>5.5</v>
      </c>
      <c r="C41" s="16">
        <f>1-($C$6*$C$10+$C$7*$C$11+$C$12*(1-$C$28/100)+$C$25)/((($C$6*($C$8*(1-($C$17+$C$18*MAX(0,$B$41-$C$16)+$C$15)/100)))+$C$12*(1-$C$29/100))+(($C$7*($C$9*(1-($C$19+$C$20*MAX(0,$B$41-$C$16)+C$40)/100)))+$C$12*$C$29/100))</f>
        <v>0.2194972927082931</v>
      </c>
      <c r="D41" s="16">
        <f>1-($C$6*$C$10+$C$7*$C$11+$C$12*(1-$C$28/100)+$C$25)/((($C$6*($C$8*(1-($C$17+$C$18*MAX(0,$B$41-$C$16)+$C$15)/100)))+$C$12*(1-$C$29/100))+(($C$7*($C$9*(1-($C$19+$C$20*MAX(0,$B$41-$C$16)+D$40)/100)))+$C$12*$C$29/100))</f>
        <v>0.21408253987787096</v>
      </c>
      <c r="E41" s="16">
        <f>1-($C$6*$C$10+$C$7*$C$11+$C$12*(1-$C$28/100)+$C$25)/((($C$6*($C$8*(1-($C$17+$C$18*MAX(0,$B$41-$C$16)+$C$15)/100)))+$C$12*(1-$C$29/100))+(($C$7*($C$9*(1-($C$19+$C$20*MAX(0,$B$41-$C$16)+E$40)/100)))+$C$12*$C$29/100))</f>
        <v>0.20826948959710567</v>
      </c>
      <c r="F41" s="16">
        <f>1-($C$6*$C$10+$C$7*$C$11+$C$12*(1-$C$28/100)+$C$25)/((($C$6*($C$8*(1-($C$17+$C$18*MAX(0,$B$41-$C$16)+$C$15)/100)))+$C$12*(1-$C$29/100))+(($C$7*($C$9*(1-($C$19+$C$20*MAX(0,$B$41-$C$16)+F$40)/100)))+$C$12*$C$29/100))</f>
        <v>0.2025569634260711</v>
      </c>
      <c r="G41" s="16">
        <f>1-($C$6*$C$10+$C$7*$C$11+$C$12*(1-$C$28/100)+$C$25)/((($C$6*($C$8*(1-($C$17+$C$18*MAX(0,$B$41-$C$16)+$C$15)/100)))+$C$12*(1-$C$29/100))+(($C$7*($C$9*(1-($C$19+$C$20*MAX(0,$B$41-$C$16)+G$40)/100)))+$C$12*$C$29/100))</f>
        <v>0.19642904048363574</v>
      </c>
      <c r="L41" s="9" t="s">
        <v>472</v>
      </c>
    </row>
    <row r="42" spans="2:12" x14ac:dyDescent="0.2">
      <c r="B42" s="67">
        <v>6</v>
      </c>
      <c r="C42" s="16">
        <f>1-($C$6*$C$10+$C$7*$C$11+$C$12*(1-$C$28/100)+$C$25)/((($C$6*($C$8*(1-($C$17+$C$18*MAX(0,$B$42-$C$16)+$C$15)/100)))+$C$12*(1-$C$29/100))+(($C$7*($C$9*(1-($C$19+$C$20*MAX(0,$B$42-$C$16)+C$40)/100)))+$C$12*$C$29/100))</f>
        <v>0.21519398563493275</v>
      </c>
      <c r="D42" s="16">
        <f>1-($C$6*$C$10+$C$7*$C$11+$C$12*(1-$C$28/100)+$C$25)/((($C$6*($C$8*(1-($C$17+$C$18*MAX(0,$B$42-$C$16)+$C$15)/100)))+$C$12*(1-$C$29/100))+(($C$7*($C$9*(1-($C$19+$C$20*MAX(0,$B$42-$C$16)+D$40)/100)))+$C$12*$C$29/100))</f>
        <v>0.20971915023561138</v>
      </c>
      <c r="E42" s="16">
        <f>1-($C$6*$C$10+$C$7*$C$11+$C$12*(1-$C$28/100)+$C$25)/((($C$6*($C$8*(1-($C$17+$C$18*MAX(0,$B$42-$C$16)+$C$15)/100)))+$C$12*(1-$C$29/100))+(($C$7*($C$9*(1-($C$19+$C$20*MAX(0,$B$42-$C$16)+E$40)/100)))+$C$12*$C$29/100))</f>
        <v>0.20384113163525763</v>
      </c>
      <c r="F42" s="16">
        <f>1-($C$6*$C$10+$C$7*$C$11+$C$12*(1-$C$28/100)+$C$25)/((($C$6*($C$8*(1-($C$17+$C$18*MAX(0,$B$42-$C$16)+$C$15)/100)))+$C$12*(1-$C$29/100))+(($C$7*($C$9*(1-($C$19+$C$20*MAX(0,$B$42-$C$16)+F$40)/100)))+$C$12*$C$29/100))</f>
        <v>0.19806429027871586</v>
      </c>
      <c r="G42" s="16">
        <f>1-($C$6*$C$10+$C$7*$C$11+$C$12*(1-$C$28/100)+$C$25)/((($C$6*($C$8*(1-($C$17+$C$18*MAX(0,$B$42-$C$16)+$C$15)/100)))+$C$12*(1-$C$29/100))+(($C$7*($C$9*(1-($C$19+$C$20*MAX(0,$B$42-$C$16)+G$40)/100)))+$C$12*$C$29/100))</f>
        <v>0.19186685695103722</v>
      </c>
    </row>
    <row r="43" spans="2:12" x14ac:dyDescent="0.2">
      <c r="B43" s="67">
        <v>6.35</v>
      </c>
      <c r="C43" s="16">
        <f>1-($C$6*$C$10+$C$7*$C$11+$C$12*(1-$C$28/100)+$C$25)/((($C$6*($C$8*(1-($C$17+$C$18*MAX(0,$B$43-$C$16)+$C$15)/100)))+$C$12*(1-$C$29/100))+(($C$7*($C$9*(1-($C$19+$C$20*MAX(0,$B$43-$C$16)+C$40)/100)))+$C$12*$C$29/100))</f>
        <v>0.21215332697950295</v>
      </c>
      <c r="D43" s="16">
        <f>1-($C$6*$C$10+$C$7*$C$11+$C$12*(1-$C$28/100)+$C$25)/((($C$6*($C$8*(1-($C$17+$C$18*MAX(0,$B$43-$C$16)+$C$15)/100)))+$C$12*(1-$C$29/100))+(($C$7*($C$9*(1-($C$19+$C$20*MAX(0,$B$43-$C$16)+D$40)/100)))+$C$12*$C$29/100))</f>
        <v>0.20663583677892783</v>
      </c>
      <c r="E43" s="65">
        <f>1-($C$6*$C$10+$C$7*$C$11+$C$12*(1-$C$28/100)+$C$25)/((($C$6*($C$8*(1-($C$17+$C$18*MAX(0,$B$43-$C$16)+$C$15)/100)))+$C$12*(1-$C$29/100))+(($C$7*($C$9*(1-($C$19+$C$20*MAX(0,$B$43-$C$16)+E$40)/100)))+$C$12*$C$29/100))</f>
        <v>0.20071169012322398</v>
      </c>
      <c r="F43" s="16">
        <f>1-($C$6*$C$10+$C$7*$C$11+$C$12*(1-$C$28/100)+$C$25)/((($C$6*($C$8*(1-($C$17+$C$18*MAX(0,$B$43-$C$16)+$C$15)/100)))+$C$12*(1-$C$29/100))+(($C$7*($C$9*(1-($C$19+$C$20*MAX(0,$B$43-$C$16)+F$40)/100)))+$C$12*$C$29/100))</f>
        <v>0.19488917968394071</v>
      </c>
      <c r="G43" s="16">
        <f>1-($C$6*$C$10+$C$7*$C$11+$C$12*(1-$C$28/100)+$C$25)/((($C$6*($C$8*(1-($C$17+$C$18*MAX(0,$B$43-$C$16)+$C$15)/100)))+$C$12*(1-$C$29/100))+(($C$7*($C$9*(1-($C$19+$C$20*MAX(0,$B$43-$C$16)+G$40)/100)))+$C$12*$C$29/100))</f>
        <v>0.18864238296906788</v>
      </c>
    </row>
    <row r="44" spans="2:12" x14ac:dyDescent="0.2">
      <c r="B44" s="67">
        <v>6.75</v>
      </c>
      <c r="C44" s="16">
        <f>1-($C$6*$C$10+$C$7*$C$11+$C$12*(1-$C$28/100)+$C$25)/((($C$6*($C$8*(1-($C$17+$C$18*MAX(0,$B$44-$C$16)+$C$15)/100)))+$C$12*(1-$C$29/100))+(($C$7*($C$9*(1-($C$19+$C$20*MAX(0,$B$44-$C$16)+C$40)/100)))+$C$12*$C$29/100))</f>
        <v>0.20864930937824577</v>
      </c>
      <c r="D44" s="16">
        <f>1-($C$6*$C$10+$C$7*$C$11+$C$12*(1-$C$28/100)+$C$25)/((($C$6*($C$8*(1-($C$17+$C$18*MAX(0,$B$44-$C$16)+$C$15)/100)))+$C$12*(1-$C$29/100))+(($C$7*($C$9*(1-($C$19+$C$20*MAX(0,$B$44-$C$16)+D$40)/100)))+$C$12*$C$29/100))</f>
        <v>0.20308245759284815</v>
      </c>
      <c r="E44" s="16">
        <f>1-($C$6*$C$10+$C$7*$C$11+$C$12*(1-$C$28/100)+$C$25)/((($C$6*($C$8*(1-($C$17+$C$18*MAX(0,$B$44-$C$16)+$C$15)/100)))+$C$12*(1-$C$29/100))+(($C$7*($C$9*(1-($C$19+$C$20*MAX(0,$B$44-$C$16)+E$40)/100)))+$C$12*$C$29/100))</f>
        <v>0.19710492515368305</v>
      </c>
      <c r="F44" s="16">
        <f>1-($C$6*$C$10+$C$7*$C$11+$C$12*(1-$C$28/100)+$C$25)/((($C$6*($C$8*(1-($C$17+$C$18*MAX(0,$B$44-$C$16)+$C$15)/100)))+$C$12*(1-$C$29/100))+(($C$7*($C$9*(1-($C$19+$C$20*MAX(0,$B$44-$C$16)+F$40)/100)))+$C$12*$C$29/100))</f>
        <v>0.19122955520728235</v>
      </c>
      <c r="G44" s="16">
        <f>1-($C$6*$C$10+$C$7*$C$11+$C$12*(1-$C$28/100)+$C$25)/((($C$6*($C$8*(1-($C$17+$C$18*MAX(0,$B$44-$C$16)+$C$15)/100)))+$C$12*(1-$C$29/100))+(($C$7*($C$9*(1-($C$19+$C$20*MAX(0,$B$44-$C$16)+G$40)/100)))+$C$12*$C$29/100))</f>
        <v>0.1849256175720152</v>
      </c>
    </row>
    <row r="45" spans="2:12" x14ac:dyDescent="0.2">
      <c r="B45" s="67">
        <v>7.25</v>
      </c>
      <c r="C45" s="16">
        <f>1-($C$6*$C$10+$C$7*$C$11+$C$12*(1-$C$28/100)+$C$25)/((($C$6*($C$8*(1-($C$17+$C$18*MAX(0,$B$45-$C$16)+$C$15)/100)))+$C$12*(1-$C$29/100))+(($C$7*($C$9*(1-($C$19+$C$20*MAX(0,$B$45-$C$16)+C$40)/100)))+$C$12*$C$29/100))</f>
        <v>0.20422521113312664</v>
      </c>
      <c r="D45" s="16">
        <f>1-($C$6*$C$10+$C$7*$C$11+$C$12*(1-$C$28/100)+$C$25)/((($C$6*($C$8*(1-($C$17+$C$18*MAX(0,$B$45-$C$16)+$C$15)/100)))+$C$12*(1-$C$29/100))+(($C$7*($C$9*(1-($C$19+$C$20*MAX(0,$B$45-$C$16)+D$40)/100)))+$C$12*$C$29/100))</f>
        <v>0.19859572026074668</v>
      </c>
      <c r="E45" s="16">
        <f>1-($C$6*$C$10+$C$7*$C$11+$C$12*(1-$C$28/100)+$C$25)/((($C$6*($C$8*(1-($C$17+$C$18*MAX(0,$B$45-$C$16)+$C$15)/100)))+$C$12*(1-$C$29/100))+(($C$7*($C$9*(1-($C$19+$C$20*MAX(0,$B$45-$C$16)+E$40)/100)))+$C$12*$C$29/100))</f>
        <v>0.1925504346604674</v>
      </c>
      <c r="F45" s="16">
        <f>1-($C$6*$C$10+$C$7*$C$11+$C$12*(1-$C$28/100)+$C$25)/((($C$6*($C$8*(1-($C$17+$C$18*MAX(0,$B$45-$C$16)+$C$15)/100)))+$C$12*(1-$C$29/100))+(($C$7*($C$9*(1-($C$19+$C$20*MAX(0,$B$45-$C$16)+F$40)/100)))+$C$12*$C$29/100))</f>
        <v>0.18660797191092138</v>
      </c>
      <c r="G45" s="16">
        <f>1-($C$6*$C$10+$C$7*$C$11+$C$12*(1-$C$28/100)+$C$25)/((($C$6*($C$8*(1-($C$17+$C$18*MAX(0,$B$45-$C$16)+$C$15)/100)))+$C$12*(1-$C$29/100))+(($C$7*($C$9*(1-($C$19+$C$20*MAX(0,$B$45-$C$16)+G$40)/100)))+$C$12*$C$29/100))</f>
        <v>0.18023149882771139</v>
      </c>
    </row>
    <row r="46" spans="2:12" ht="14" customHeight="1" x14ac:dyDescent="0.2"/>
    <row r="47" spans="2:12" ht="15.5" customHeight="1" x14ac:dyDescent="0.2">
      <c r="B47" s="3" t="s">
        <v>473</v>
      </c>
      <c r="C47" s="3"/>
      <c r="D47" s="3"/>
      <c r="E47" s="3"/>
      <c r="F47" s="3"/>
      <c r="G47" s="3"/>
      <c r="H47" s="3"/>
      <c r="I47" s="3"/>
      <c r="J47" s="3"/>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vt:i4>
      </vt:variant>
    </vt:vector>
  </HeadingPairs>
  <TitlesOfParts>
    <vt:vector size="11" baseType="lpstr">
      <vt:lpstr>README</vt:lpstr>
      <vt:lpstr>Summary</vt:lpstr>
      <vt:lpstr>Assumptions</vt:lpstr>
      <vt:lpstr>Historicals</vt:lpstr>
      <vt:lpstr>Segment Build</vt:lpstr>
      <vt:lpstr>IS</vt:lpstr>
      <vt:lpstr>BS</vt:lpstr>
      <vt:lpstr>CF</vt:lpstr>
      <vt:lpstr>DCF</vt:lpstr>
      <vt:lpstr>Comps</vt:lpstr>
      <vt:lpstr>Sensitivity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Wesley Stone</cp:lastModifiedBy>
  <dcterms:created xsi:type="dcterms:W3CDTF">2026-09-08T00:09:12Z</dcterms:created>
  <dcterms:modified xsi:type="dcterms:W3CDTF">2026-09-08T00:55:22Z</dcterms:modified>
</cp:coreProperties>
</file>