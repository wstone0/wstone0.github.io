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Assumptions" sheetId="3" state="visible" r:id="rId3"/>
    <sheet name="Historicals" sheetId="4" state="visible" r:id="rId4"/>
    <sheet name="Segment Build" sheetId="5" state="visible" r:id="rId5"/>
    <sheet name="IS" sheetId="6" state="visible" r:id="rId6"/>
    <sheet name="BS" sheetId="7" state="visible" r:id="rId7"/>
    <sheet name="CF" sheetId="8" state="visible" r:id="rId8"/>
    <sheet name="DCF" sheetId="9" state="visible" r:id="rId9"/>
    <sheet name="Comps" sheetId="10" state="visible" r:id="rId10"/>
    <sheet name="Sensitivity" sheetId="11" state="visible" r:id="rId11"/>
  </sheets>
  <definedNames/>
  <calcPr calcId="124519" fullCalcOnLoad="1"/>
</workbook>
</file>

<file path=xl/styles.xml><?xml version="1.0" encoding="utf-8"?>
<styleSheet xmlns="http://schemas.openxmlformats.org/spreadsheetml/2006/main">
  <numFmts count="10">
    <numFmt numFmtId="164" formatCode="0.00&quot;%&quot;"/>
    <numFmt numFmtId="165" formatCode="#,##0.00;(#,##0.00);&quot;—&quot;"/>
    <numFmt numFmtId="166" formatCode="#,##0;(#,##0);&quot;—&quot;"/>
    <numFmt numFmtId="167" formatCode="0.0&quot;%&quot;"/>
    <numFmt numFmtId="168" formatCode="#,##0.0;(#,##0.0);&quot;—&quot;"/>
    <numFmt numFmtId="169" formatCode="$#,##0.00"/>
    <numFmt numFmtId="170" formatCode="0.0%;(0.0%);&quot;—&quot;"/>
    <numFmt numFmtId="171" formatCode="0.00&quot;x&quot;"/>
    <numFmt numFmtId="172" formatCode="#,##0.00;(#,##0.00);&quot;—&quot;00"/>
    <numFmt numFmtId="173" formatCode="$#,##0"/>
  </numFmts>
  <fonts count="9">
    <font>
      <name val="Calibri"/>
      <family val="2"/>
      <color theme="1"/>
      <sz val="11"/>
      <scheme val="minor"/>
    </font>
    <font>
      <name val="Calibri"/>
      <b val="1"/>
      <color rgb="0016222E"/>
      <sz val="15"/>
    </font>
    <font>
      <name val="Calibri"/>
      <i val="1"/>
      <color rgb="006B7C8C"/>
      <sz val="9"/>
    </font>
    <font>
      <name val="Calibri"/>
      <b val="1"/>
      <color rgb="00FFFFFF"/>
      <sz val="10"/>
    </font>
    <font>
      <name val="Calibri"/>
      <color rgb="0016222E"/>
      <sz val="10"/>
    </font>
    <font>
      <name val="Calibri"/>
      <color rgb="000B3FA8"/>
      <sz val="10"/>
    </font>
    <font>
      <name val="Calibri"/>
      <b val="1"/>
      <color rgb="0016222E"/>
      <sz val="10"/>
    </font>
    <font>
      <name val="Calibri"/>
      <color rgb="000B6B4F"/>
      <sz val="10"/>
    </font>
    <font>
      <name val="Calibri"/>
      <b val="1"/>
      <color rgb="000B6B4F"/>
      <sz val="10"/>
    </font>
  </fonts>
  <fills count="7">
    <fill>
      <patternFill/>
    </fill>
    <fill>
      <patternFill patternType="gray125"/>
    </fill>
    <fill>
      <patternFill patternType="solid">
        <fgColor rgb="001F3348"/>
      </patternFill>
    </fill>
    <fill>
      <patternFill patternType="solid">
        <fgColor rgb="0034506B"/>
      </patternFill>
    </fill>
    <fill>
      <patternFill patternType="solid">
        <fgColor rgb="00EEF3F8"/>
      </patternFill>
    </fill>
    <fill>
      <patternFill patternType="solid">
        <fgColor rgb="00E4EAF0"/>
      </patternFill>
    </fill>
    <fill>
      <patternFill patternType="solid">
        <fgColor rgb="00FFF4D6"/>
      </patternFill>
    </fill>
  </fills>
  <borders count="2">
    <border>
      <left/>
      <right/>
      <top/>
      <bottom/>
      <diagonal/>
    </border>
    <border>
      <top style="thin">
        <color rgb="00B7C4D1"/>
      </top>
    </border>
  </borders>
  <cellStyleXfs count="1">
    <xf numFmtId="0" fontId="0" fillId="0" borderId="0"/>
  </cellStyleXfs>
  <cellXfs count="89">
    <xf numFmtId="0" fontId="0" fillId="0" borderId="0" pivotButton="0" quotePrefix="0" xfId="0"/>
    <xf numFmtId="0" fontId="1" fillId="0" borderId="0" pivotButton="0" quotePrefix="0" xfId="0"/>
    <xf numFmtId="0" fontId="2" fillId="0" borderId="0" pivotButton="0" quotePrefix="0" xfId="0"/>
    <xf numFmtId="0" fontId="3" fillId="3" borderId="0" applyAlignment="1" pivotButton="0" quotePrefix="0" xfId="0">
      <alignment horizontal="left" vertical="center" indent="1"/>
    </xf>
    <xf numFmtId="0" fontId="6" fillId="0" borderId="0" applyAlignment="1" pivotButton="0" quotePrefix="0" xfId="0">
      <alignment vertical="top" indent="1"/>
    </xf>
    <xf numFmtId="0" fontId="0" fillId="0" borderId="0" applyAlignment="1" pivotButton="0" quotePrefix="0" xfId="0">
      <alignment vertical="top" wrapText="1"/>
    </xf>
    <xf numFmtId="0" fontId="6" fillId="0" borderId="0" applyAlignment="1" pivotButton="0" quotePrefix="0" xfId="0">
      <alignment indent="1"/>
    </xf>
    <xf numFmtId="49" fontId="6" fillId="6" borderId="0" pivotButton="0" quotePrefix="0" xfId="0"/>
    <xf numFmtId="169" fontId="6" fillId="6" borderId="0" pivotButton="0" quotePrefix="0" xfId="0"/>
    <xf numFmtId="0" fontId="2" fillId="0" borderId="0" applyAlignment="1" pivotButton="0" quotePrefix="0" xfId="0">
      <alignment vertical="top" wrapText="1"/>
    </xf>
    <xf numFmtId="0" fontId="4" fillId="0" borderId="0" applyAlignment="1" pivotButton="0" quotePrefix="0" xfId="0">
      <alignment indent="1"/>
    </xf>
    <xf numFmtId="169" fontId="4" fillId="0" borderId="0" pivotButton="0" quotePrefix="0" xfId="0"/>
    <xf numFmtId="170" fontId="6" fillId="5" borderId="0" pivotButton="0" quotePrefix="0" xfId="0"/>
    <xf numFmtId="166" fontId="4" fillId="0" borderId="0" pivotButton="0" quotePrefix="0" xfId="0"/>
    <xf numFmtId="0" fontId="0" fillId="0" borderId="0" applyAlignment="1" pivotButton="0" quotePrefix="0" xfId="0">
      <alignment indent="1"/>
    </xf>
    <xf numFmtId="0" fontId="3" fillId="2" borderId="0" pivotButton="0" quotePrefix="0" xfId="0"/>
    <xf numFmtId="170" fontId="4" fillId="0" borderId="0" pivotButton="0" quotePrefix="0" xfId="0"/>
    <xf numFmtId="170" fontId="5" fillId="4" borderId="0" pivotButton="0" quotePrefix="0" xfId="0"/>
    <xf numFmtId="0" fontId="6" fillId="0" borderId="1" pivotButton="0" quotePrefix="0" xfId="0"/>
    <xf numFmtId="0" fontId="0" fillId="0" borderId="1" pivotButton="0" quotePrefix="0" xfId="0"/>
    <xf numFmtId="170" fontId="6" fillId="0" borderId="1" pivotButton="0" quotePrefix="0" xfId="0"/>
    <xf numFmtId="169" fontId="6" fillId="6" borderId="1" pivotButton="0" quotePrefix="0" xfId="0"/>
    <xf numFmtId="0" fontId="2" fillId="0" borderId="0" applyAlignment="1" pivotButton="0" quotePrefix="0" xfId="0">
      <alignment indent="1"/>
    </xf>
    <xf numFmtId="169" fontId="2" fillId="0" borderId="0" pivotButton="0" quotePrefix="0" xfId="0"/>
    <xf numFmtId="0" fontId="6" fillId="0" borderId="0" pivotButton="0" quotePrefix="0" xfId="0"/>
    <xf numFmtId="169" fontId="5" fillId="4" borderId="0" pivotButton="0" quotePrefix="0" xfId="0"/>
    <xf numFmtId="170" fontId="0" fillId="0" borderId="0" pivotButton="0" quotePrefix="0" xfId="0"/>
    <xf numFmtId="0" fontId="6" fillId="5" borderId="0" pivotButton="0" quotePrefix="0" xfId="0"/>
    <xf numFmtId="169" fontId="4" fillId="5" borderId="0" pivotButton="0" quotePrefix="0" xfId="0"/>
    <xf numFmtId="170" fontId="4" fillId="5" borderId="0" pivotButton="0" quotePrefix="0" xfId="0"/>
    <xf numFmtId="169" fontId="5" fillId="5" borderId="0" pivotButton="0" quotePrefix="0" xfId="0"/>
    <xf numFmtId="170" fontId="0" fillId="5" borderId="0" pivotButton="0" quotePrefix="0" xfId="0"/>
    <xf numFmtId="0" fontId="3" fillId="2" borderId="0" applyAlignment="1" pivotButton="0" quotePrefix="0" xfId="0">
      <alignment vertical="center" indent="1"/>
    </xf>
    <xf numFmtId="0" fontId="3" fillId="2" borderId="0" applyAlignment="1" pivotButton="0" quotePrefix="0" xfId="0">
      <alignment horizontal="center"/>
    </xf>
    <xf numFmtId="170" fontId="6" fillId="0" borderId="0" pivotButton="0" quotePrefix="0" xfId="0"/>
    <xf numFmtId="169" fontId="6" fillId="0" borderId="0" pivotButton="0" quotePrefix="0" xfId="0"/>
    <xf numFmtId="0" fontId="3" fillId="2" borderId="0" applyAlignment="1" pivotButton="0" quotePrefix="0" xfId="0">
      <alignment horizontal="left" vertical="center" indent="1"/>
    </xf>
    <xf numFmtId="0" fontId="3" fillId="2" borderId="0" applyAlignment="1" pivotButton="0" quotePrefix="0" xfId="0">
      <alignment horizontal="center" vertical="center"/>
    </xf>
    <xf numFmtId="0" fontId="4" fillId="0" borderId="0" applyAlignment="1" pivotButton="0" quotePrefix="0" xfId="0">
      <alignment horizontal="left" indent="1"/>
    </xf>
    <xf numFmtId="164" fontId="5" fillId="4" borderId="0" pivotButton="0" quotePrefix="0" xfId="0"/>
    <xf numFmtId="165" fontId="5" fillId="4" borderId="0" pivotButton="0" quotePrefix="0" xfId="0"/>
    <xf numFmtId="166" fontId="5" fillId="4" borderId="0" pivotButton="0" quotePrefix="0" xfId="0"/>
    <xf numFmtId="167" fontId="5" fillId="4" borderId="0" pivotButton="0" quotePrefix="0" xfId="0"/>
    <xf numFmtId="168" fontId="5" fillId="4" borderId="0" pivotButton="0" quotePrefix="0" xfId="0"/>
    <xf numFmtId="0" fontId="6" fillId="0" borderId="1" applyAlignment="1" pivotButton="0" quotePrefix="0" xfId="0">
      <alignment horizontal="left" indent="1"/>
    </xf>
    <xf numFmtId="166" fontId="6" fillId="5" borderId="1" pivotButton="0" quotePrefix="0" xfId="0"/>
    <xf numFmtId="0" fontId="4" fillId="0" borderId="0" applyAlignment="1" pivotButton="0" quotePrefix="0" xfId="0">
      <alignment horizontal="left" indent="2"/>
    </xf>
    <xf numFmtId="166" fontId="5" fillId="5" borderId="1" pivotButton="0" quotePrefix="0" xfId="0"/>
    <xf numFmtId="168" fontId="4" fillId="0" borderId="0" pivotButton="0" quotePrefix="0" xfId="0"/>
    <xf numFmtId="0" fontId="6" fillId="0" borderId="0" applyAlignment="1" pivotButton="0" quotePrefix="0" xfId="0">
      <alignment horizontal="left" indent="1"/>
    </xf>
    <xf numFmtId="165" fontId="4" fillId="0" borderId="0" pivotButton="0" quotePrefix="0" xfId="0"/>
    <xf numFmtId="166" fontId="7" fillId="0" borderId="0" pivotButton="0" quotePrefix="0" xfId="0"/>
    <xf numFmtId="164" fontId="4" fillId="0" borderId="0" pivotButton="0" quotePrefix="0" xfId="0"/>
    <xf numFmtId="168" fontId="8" fillId="0" borderId="0" pivotButton="0" quotePrefix="0" xfId="0"/>
    <xf numFmtId="168" fontId="6" fillId="0" borderId="0" pivotButton="0" quotePrefix="0" xfId="0"/>
    <xf numFmtId="168" fontId="7" fillId="0" borderId="0" pivotButton="0" quotePrefix="0" xfId="0"/>
    <xf numFmtId="0" fontId="6" fillId="0" borderId="0" applyAlignment="1" pivotButton="0" quotePrefix="0" xfId="0">
      <alignment horizontal="left" indent="2"/>
    </xf>
    <xf numFmtId="165" fontId="6" fillId="5" borderId="1" pivotButton="0" quotePrefix="0" xfId="0"/>
    <xf numFmtId="166" fontId="6" fillId="0" borderId="0" pivotButton="0" quotePrefix="0" xfId="0"/>
    <xf numFmtId="165" fontId="6" fillId="6" borderId="0" pivotButton="0" quotePrefix="0" xfId="0"/>
    <xf numFmtId="171" fontId="4" fillId="0" borderId="0" pivotButton="0" quotePrefix="0" xfId="0"/>
    <xf numFmtId="164" fontId="6" fillId="5" borderId="0" pivotButton="0" quotePrefix="0" xfId="0"/>
    <xf numFmtId="0" fontId="0" fillId="2" borderId="0" pivotButton="0" quotePrefix="0" xfId="0"/>
    <xf numFmtId="172" fontId="4" fillId="0" borderId="0" pivotButton="0" quotePrefix="0" xfId="0"/>
    <xf numFmtId="166" fontId="6" fillId="5" borderId="0" pivotButton="0" quotePrefix="0" xfId="0"/>
    <xf numFmtId="170" fontId="6" fillId="6" borderId="0" pivotButton="0" quotePrefix="0" xfId="0"/>
    <xf numFmtId="170" fontId="3" fillId="2" borderId="0" applyAlignment="1" pivotButton="0" quotePrefix="0" xfId="0">
      <alignment horizontal="center"/>
    </xf>
    <xf numFmtId="164" fontId="3" fillId="2" borderId="0" applyAlignment="1" pivotButton="0" quotePrefix="0" xfId="0">
      <alignment horizontal="center"/>
    </xf>
    <xf numFmtId="173" fontId="4" fillId="0" borderId="0" pivotButton="0" quotePrefix="0" xfId="0"/>
    <xf numFmtId="173" fontId="6" fillId="6" borderId="0" pivotButton="0" quotePrefix="0" xfId="0"/>
    <xf numFmtId="0" fontId="3" fillId="2" borderId="0" applyAlignment="1" pivotButton="0" quotePrefix="0" xfId="0">
      <alignment horizontal="left" vertical="center" wrapText="1"/>
    </xf>
    <xf numFmtId="0" fontId="3" fillId="2" borderId="0" applyAlignment="1" pivotButton="0" quotePrefix="0" xfId="0">
      <alignment horizontal="center" vertical="center" wrapText="1"/>
    </xf>
    <xf numFmtId="0" fontId="4" fillId="0" borderId="0" pivotButton="0" quotePrefix="0" xfId="0"/>
    <xf numFmtId="171" fontId="5" fillId="4" borderId="0" pivotButton="0" quotePrefix="0" xfId="0"/>
    <xf numFmtId="171" fontId="4" fillId="6" borderId="0" pivotButton="0" quotePrefix="0" xfId="0"/>
    <xf numFmtId="171" fontId="6" fillId="5" borderId="1" pivotButton="0" quotePrefix="0" xfId="0"/>
    <xf numFmtId="170" fontId="6" fillId="5" borderId="1" pivotButton="0" quotePrefix="0" xfId="0"/>
    <xf numFmtId="171" fontId="6" fillId="0" borderId="0" pivotButton="0" quotePrefix="0" xfId="0"/>
    <xf numFmtId="165" fontId="5" fillId="5" borderId="0" pivotButton="0" quotePrefix="0" xfId="0"/>
    <xf numFmtId="166" fontId="5" fillId="5" borderId="0" pivotButton="0" quotePrefix="0" xfId="0"/>
    <xf numFmtId="171" fontId="5" fillId="5" borderId="0" pivotButton="0" quotePrefix="0" xfId="0"/>
    <xf numFmtId="168" fontId="6" fillId="5" borderId="0" pivotButton="0" quotePrefix="0" xfId="0"/>
    <xf numFmtId="165" fontId="6" fillId="5" borderId="0" pivotButton="0" quotePrefix="0" xfId="0"/>
    <xf numFmtId="171" fontId="6" fillId="5" borderId="0" pivotButton="0" quotePrefix="0" xfId="0"/>
    <xf numFmtId="167" fontId="4" fillId="0" borderId="0" pivotButton="0" quotePrefix="0" xfId="0"/>
    <xf numFmtId="169" fontId="6" fillId="5" borderId="0" pivotButton="0" quotePrefix="0" xfId="0"/>
    <xf numFmtId="164" fontId="7" fillId="0" borderId="0" pivotButton="0" quotePrefix="0" xfId="0"/>
    <xf numFmtId="165" fontId="7" fillId="0" borderId="0" pivotButton="0" quotePrefix="0" xfId="0"/>
    <xf numFmtId="167"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46"/>
  <sheetViews>
    <sheetView showGridLines="0" zoomScale="100" workbookViewId="0">
      <selection activeCell="A1" sqref="A1"/>
    </sheetView>
  </sheetViews>
  <sheetFormatPr baseColWidth="8" defaultRowHeight="15"/>
  <cols>
    <col width="2.2" customWidth="1" min="1" max="1"/>
    <col width="34" customWidth="1" min="2" max="2"/>
    <col width="108" customWidth="1" min="3" max="3"/>
  </cols>
  <sheetData>
    <row r="2" ht="22" customHeight="1">
      <c r="B2" s="1" t="inlineStr">
        <is>
          <t>M/I Homes (MHO) — Coverage Initiation Model</t>
        </is>
      </c>
    </row>
    <row r="3">
      <c r="B3" s="2" t="inlineStr">
        <is>
          <t>Three-statement model, DCF and comparable companies analysis. Built 04-Sep-2026.</t>
        </is>
      </c>
    </row>
    <row r="5" ht="15.5" customHeight="1">
      <c r="B5" s="3" t="inlineStr">
        <is>
          <t>HOW TO USE THIS WORKBOOK</t>
        </is>
      </c>
      <c r="C5" s="3" t="n"/>
    </row>
    <row r="6" ht="24" customHeight="1">
      <c r="B6" s="4" t="inlineStr">
        <is>
          <t>Colour convention</t>
        </is>
      </c>
      <c r="C6" s="5" t="inlineStr">
        <is>
          <t>Blue = hard-coded input. Black = formula. Green = link to another sheet. Yellow = model output. Only blue cells should ever be typed over.</t>
        </is>
      </c>
    </row>
    <row r="7" ht="24" customHeight="1">
      <c r="B7" s="4" t="inlineStr">
        <is>
          <t>Order of sheets</t>
        </is>
      </c>
      <c r="C7" s="5" t="inlineStr">
        <is>
          <t>Assumptions → Historicals → Segment Build → IS → BS → CF → DCF → Comps → Sensitivity → Summary. Everything projected flows from Assumptions.</t>
        </is>
      </c>
    </row>
    <row r="8" ht="24" customHeight="1">
      <c r="B8" s="4" t="inlineStr">
        <is>
          <t>Where to flex first</t>
        </is>
      </c>
      <c r="C8" s="5" t="inlineStr">
        <is>
          <t>Assumptions, the "Southern competition premium" row. That single input carries the thesis. The Sensitivity sheet flexes it against mortgage rates live.</t>
        </is>
      </c>
    </row>
    <row r="9" ht="24" customHeight="1">
      <c r="B9" s="4" t="inlineStr">
        <is>
          <t>Checks</t>
        </is>
      </c>
      <c r="C9" s="5" t="inlineStr">
        <is>
          <t>Segment Build has two tie-out rows against filed revenue and deliveries; BS has an assets-less-liabilities-and-equity check. All must read zero for 2023–2025.</t>
        </is>
      </c>
    </row>
    <row r="10" ht="24" customHeight="1">
      <c r="B10" s="4" t="inlineStr">
        <is>
          <t>Recalculate</t>
        </is>
      </c>
      <c r="C10" s="5" t="inlineStr">
        <is>
          <t>The workbook is written with live formulas but no cached values. Open in Excel and press Ctrl+Alt+F9 (Cmd+Opt+F9 on Mac) for a full rebuild.</t>
        </is>
      </c>
    </row>
    <row r="11" ht="8" customHeight="1"/>
    <row r="12" ht="15.5" customHeight="1">
      <c r="B12" s="3" t="inlineStr">
        <is>
          <t>SOURCES — every historical figure traces to one of these</t>
        </is>
      </c>
      <c r="C12" s="3" t="n"/>
    </row>
    <row r="13" ht="24" customHeight="1">
      <c r="B13" s="4" t="inlineStr">
        <is>
          <t>FY2025 Form 10-K</t>
        </is>
      </c>
      <c r="C13" s="5" t="inlineStr">
        <is>
          <t>Filed 13-Feb-2026, accession 0000799292-26-000006. Segment revenue, land and housing cost, segment operating income and depreciation come from Note 12, "Business Segments".</t>
        </is>
      </c>
    </row>
    <row r="14" ht="24" customHeight="1">
      <c r="B14" s="4" t="inlineStr">
        <is>
          <t>Q4/FY2025 earnings release</t>
        </is>
      </c>
      <c r="C14" s="5" t="inlineStr">
        <is>
          <t>Exhibit 99.1 to Form 8-K filed 28-Jan-2026. Deliveries, new contracts, backlog and average sales price by region.</t>
        </is>
      </c>
    </row>
    <row r="15" ht="24" customHeight="1">
      <c r="B15" s="4" t="inlineStr">
        <is>
          <t>Q4/FY2024 earnings release</t>
        </is>
      </c>
      <c r="C15" s="5" t="inlineStr">
        <is>
          <t>Exhibit 99.1 to Form 8-K filed 29-Jan-2025 (exhibit9914thqtr2024earnin.htm). 2024 and 2023 regional deliveries and contracts.</t>
        </is>
      </c>
    </row>
    <row r="16" ht="14" customHeight="1">
      <c r="B16" s="4" t="inlineStr">
        <is>
          <t>Q4/FY2023 earnings release</t>
        </is>
      </c>
      <c r="C16" s="5" t="inlineStr">
        <is>
          <t>Exhibit 99.1 to Form 8-K filed 31-Jan-2024 (exhibit9914thqtr2023earnin.htm).</t>
        </is>
      </c>
    </row>
    <row r="17" ht="24" customHeight="1">
      <c r="B17" s="4" t="inlineStr">
        <is>
          <t>Q2 2026 earnings release</t>
        </is>
      </c>
      <c r="C17" s="5" t="inlineStr">
        <is>
          <t>Exhibit 99.1 to Form 8-K filed 29-Jul-2026. Used to calibrate the 2026 estimate: 1H revenue $1,984.0m, EPS $5.57, 22.1% reported gross margin, 4,120 deliveries, $459k ASP.</t>
        </is>
      </c>
    </row>
    <row r="18" ht="24" customHeight="1">
      <c r="B18" s="4" t="inlineStr">
        <is>
          <t>SEC XBRL</t>
        </is>
      </c>
      <c r="C18" s="5" t="inlineStr">
        <is>
          <t>data.sec.gov companyfacts, CIK 0000799292, for consolidated income statement, balance sheet and cash flow. Peer equity and net income from the same API.</t>
        </is>
      </c>
    </row>
    <row r="19" ht="24" customHeight="1">
      <c r="B19" s="4" t="inlineStr">
        <is>
          <t>Rates</t>
        </is>
      </c>
      <c r="C19" s="5" t="inlineStr">
        <is>
          <t>FRED. 30-yr fixed mortgage (MORTGAGE30US) 6.71% at 03-Sep-2026; 10-yr UST (DGS10) 4.79%; BB high-yield effective yield (BAMLH0A1HYBBEY) 6.03%.</t>
        </is>
      </c>
    </row>
    <row r="20" ht="24" customHeight="1">
      <c r="B20" s="4" t="inlineStr">
        <is>
          <t>Housing macro</t>
        </is>
      </c>
      <c r="C20" s="5" t="inlineStr">
        <is>
          <t>FRED. Raleigh house price index (ATNHPIUS39580Q) 365.5 → 367.2 over the year to Q2-2026, +0.4%. Charlotte (ATNHPIUS16740Q) +1.1%. NC private building permits (NCBPPRIVSA) declining through 2026.</t>
        </is>
      </c>
    </row>
    <row r="21" ht="14" customHeight="1">
      <c r="B21" s="4" t="inlineStr">
        <is>
          <t>Prices</t>
        </is>
      </c>
      <c r="C21" s="5" t="inlineStr">
        <is>
          <t>stockanalysis.com, 04-Sep-2026 11:44 ET, for MHO and the six comparables.</t>
        </is>
      </c>
    </row>
    <row r="22" ht="8" customHeight="1"/>
    <row r="23" ht="15.5" customHeight="1">
      <c r="B23" s="3" t="inlineStr">
        <is>
          <t>PROVENANCE — which numbers are facts and which are ours</t>
        </is>
      </c>
      <c r="C23" s="3" t="n"/>
    </row>
    <row r="24" ht="36" customHeight="1">
      <c r="B24" s="4" t="inlineStr">
        <is>
          <t>No company guidance exists</t>
        </is>
      </c>
      <c r="C24" s="5" t="inlineStr">
        <is>
          <t>M/I Homes issues no quantitative forward guidance. Neither the FY2025 nor the Q2 2026 release contains a delivery, revenue, margin or EPS target — only safe-harbour boilerplate. Every projected figure in this workbook is the analyst's, not the company's.</t>
        </is>
      </c>
    </row>
    <row r="25" ht="24" customHeight="1">
      <c r="B25" s="4" t="inlineStr">
        <is>
          <t>Tier 1 — reported fact</t>
        </is>
      </c>
      <c r="C25" s="5" t="inlineStr">
        <is>
          <t>All of the Historicals sheet, plus the 1H26 figures used to calibrate 2026. Verified: 42 of 42 consolidated line items match SEC XBRL to the dollar; 24 of 24 segment figures match the 10-K segment note.</t>
        </is>
      </c>
    </row>
    <row r="26" ht="36" customHeight="1">
      <c r="B26" s="4" t="inlineStr">
        <is>
          <t>Tier 2 — extrapolated from actuals</t>
        </is>
      </c>
      <c r="C26" s="5" t="inlineStr">
        <is>
          <t>Cost per home, selling and G&amp;A percentages, corporate expense, tax rate, financial services margin, inventory turns. Each starts from a reported 2025 value and moves on a stated growth rate. Defensible without a view on the world.</t>
        </is>
      </c>
    </row>
    <row r="27" ht="36" customHeight="1">
      <c r="B27" s="4" t="inlineStr">
        <is>
          <t>Tier 3 — pure judgement, no external anchor</t>
        </is>
      </c>
      <c r="C27" s="5" t="inlineStr">
        <is>
          <t>The mortgage rate path, the Southern and Northern competition premiums, delivery growth from 2027, gross ASP growth, and the buyback pace. These are forecasts with nothing behind them but reasoning. The competition premium is the most consequential and the least verifiable.</t>
        </is>
      </c>
    </row>
    <row r="28" ht="36" customHeight="1">
      <c r="B28" s="4" t="inlineStr">
        <is>
          <t>How much rests on Tier 3</t>
        </is>
      </c>
      <c r="C28" s="5" t="inlineStr">
        <is>
          <t>Of the $2.89 of 2027E EPS growth over 2026E: $1.08 is volume, price, cost and buyback; $0.41 is the mortgage-rate decline; $1.40 — 49% — is the Southern competition premium decaying. Roughly three-fifths of the step-up is Tier 3.</t>
        </is>
      </c>
    </row>
    <row r="29" ht="36" customHeight="1">
      <c r="B29" s="4" t="inlineStr">
        <is>
          <t>Versus consensus</t>
        </is>
      </c>
      <c r="C29" s="5" t="inlineStr">
        <is>
          <t>Four analysts cover MHO. Our 2026E EPS of $11.89 sits marginally below the lowest published estimate ($11.96–$13.34, consensus $12.32–$12.63); 2027E of $14.78 is in the lower half of a $14.24–$16.49 range. Consensus target $170.67, rating Buy.</t>
        </is>
      </c>
    </row>
    <row r="30" ht="8" customHeight="1"/>
    <row r="31" ht="15.5" customHeight="1">
      <c r="B31" s="3" t="inlineStr">
        <is>
          <t>MODELLING CONVENTIONS AND JUDGEMENT CALLS</t>
        </is>
      </c>
      <c r="C31" s="3" t="n"/>
    </row>
    <row r="32" ht="24" customHeight="1">
      <c r="B32" s="4" t="inlineStr">
        <is>
          <t>Revenue is built by region</t>
        </is>
      </c>
      <c r="C32" s="5" t="inlineStr">
        <is>
          <t>Deliveries x average selling price for Northern and Southern separately, never a blended growth rate. The thesis is entirely about regional mix, so a blended rate would assume away the question.</t>
        </is>
      </c>
    </row>
    <row r="33" ht="24" customHeight="1">
      <c r="B33" s="4" t="inlineStr">
        <is>
          <t>Gross margin is a residual</t>
        </is>
      </c>
      <c r="C33" s="5" t="inlineStr">
        <is>
          <t>It is not an input. Incentive load reduces the realised price; cost per home is driven separately; the margin is what is left. That is what actually happens at a closing table.</t>
        </is>
      </c>
    </row>
    <row r="34" ht="36" customHeight="1">
      <c r="B34" s="4" t="inlineStr">
        <is>
          <t>Incentive load has two terms</t>
        </is>
      </c>
      <c r="C34" s="5" t="inlineStr">
        <is>
          <t>A rate term (base + slope x the excess of the mortgage rate over a 5.5% neutral) and a competition premium. The second term is necessary: mortgage rates were flat between 2024 and 2025 while the Southern margin fell 680bp, so rates cannot be the explanation.</t>
        </is>
      </c>
    </row>
    <row r="35" ht="36" customHeight="1">
      <c r="B35" s="4" t="inlineStr">
        <is>
          <t>Gross margin is shown two ways</t>
        </is>
      </c>
      <c r="C35" s="5" t="inlineStr">
        <is>
          <t>MHO reports gross margin on total revenue, which includes financial services revenue carrying no land or housing cost. That flatters the headline by roughly 200bp. The homebuilding-only margin is shown alongside it throughout.</t>
        </is>
      </c>
    </row>
    <row r="36" ht="24" customHeight="1">
      <c r="B36" s="4" t="inlineStr">
        <is>
          <t>Charges are separated</t>
        </is>
      </c>
      <c r="C36" s="5" t="inlineStr">
        <is>
          <t>The $47.7m of 2025 inventory write-offs ($41.0m of it Southern) is stripped out of cost per home and modelled as its own line, so the underlying unit economics are visible.</t>
        </is>
      </c>
    </row>
    <row r="37" ht="24" customHeight="1">
      <c r="B37" s="4" t="inlineStr">
        <is>
          <t>Financial services debt is excluded from net debt</t>
        </is>
      </c>
      <c r="C37" s="5" t="inlineStr">
        <is>
          <t>Warehouse facilities fund mortgage loans held for sale and are matched by those assets. Including them would overstate leverage.</t>
        </is>
      </c>
    </row>
    <row r="38" ht="14" customHeight="1">
      <c r="B38" s="4" t="inlineStr">
        <is>
          <t>Stock compensation is a real cost</t>
        </is>
      </c>
      <c r="C38" s="5" t="inlineStr">
        <is>
          <t>Deducted in the free cash flow build. Adding it back would raise the DCF by roughly $6 per share.</t>
        </is>
      </c>
    </row>
    <row r="39" ht="24" customHeight="1">
      <c r="B39" s="4" t="inlineStr">
        <is>
          <t>Other liabilities is the revenue-driven line</t>
        </is>
      </c>
      <c r="C39" s="5" t="inlineStr">
        <is>
          <t>Accounts payable, accrued compensation, customer deposits and warranty reserve are modelled at 14.4–14.6% of revenue, in line with 2025. The balance sheet ties without a plug.</t>
        </is>
      </c>
    </row>
    <row r="40" ht="8" customHeight="1"/>
    <row r="41" ht="15.5" customHeight="1">
      <c r="B41" s="3" t="inlineStr">
        <is>
          <t>KNOWN LIMITATIONS — worth saying out loud</t>
        </is>
      </c>
      <c r="C41" s="3" t="n"/>
    </row>
    <row r="42" ht="36" customHeight="1">
      <c r="B42" s="4" t="inlineStr">
        <is>
          <t>Two segments, not seventeen</t>
        </is>
      </c>
      <c r="C42" s="5" t="inlineStr">
        <is>
          <t>MHO reports Northern and Southern only. Raleigh and Charlotte cannot be isolated from Florida and Texas in the filings, so "Southern" is the closest proxy for the North Carolina thesis available from public data. Division-level colour would have to come from management.</t>
        </is>
      </c>
    </row>
    <row r="43" ht="24" customHeight="1">
      <c r="B43" s="4" t="inlineStr">
        <is>
          <t>Financial services is valued inside the consolidated DCF</t>
        </is>
      </c>
      <c r="C43" s="5" t="inlineStr">
        <is>
          <t>It is a mortgage origination business with a different risk profile and arguably deserves separate treatment. At 13% of segment operating income the simplification is tolerable, not correct.</t>
        </is>
      </c>
    </row>
    <row r="44" ht="24" customHeight="1">
      <c r="B44" s="4" t="inlineStr">
        <is>
          <t>Terminal value carries most of the DCF</t>
        </is>
      </c>
      <c r="C44" s="5" t="inlineStr">
        <is>
          <t>Roughly three-quarters. That is unavoidable for a cyclical with heavy near-term working capital investment, and it is a reason to weight the DCF at 30% rather than more.</t>
        </is>
      </c>
    </row>
    <row r="45" ht="24" customHeight="1">
      <c r="B45" s="4" t="inlineStr">
        <is>
          <t>Peer book values are not all the same date</t>
        </is>
      </c>
      <c r="C45" s="5" t="inlineStr">
        <is>
          <t>Horton, Lennar and Toll have non-December year ends; each is taken from its most recent 10-Q. The staleness is at most one quarter.</t>
        </is>
      </c>
    </row>
    <row r="46" ht="24" customHeight="1">
      <c r="B46" s="4" t="inlineStr">
        <is>
          <t>The comp set excludes NVR</t>
        </is>
      </c>
      <c r="C46" s="5" t="inlineStr">
        <is>
          <t>Its land-option model produces a structurally different balance sheet and a book multiple that is not comparable.</t>
        </is>
      </c>
    </row>
    <row r="47" ht="8" customHeight="1"/>
  </sheetData>
  <pageMargins left="0.75" right="0.75" top="1" bottom="1" header="0.5" footer="0.5"/>
</worksheet>
</file>

<file path=xl/worksheets/sheet2.xml><?xml version="1.0" encoding="utf-8"?>
<worksheet xmlns="http://schemas.openxmlformats.org/spreadsheetml/2006/main">
  <sheetPr>
    <tabColor rgb="001F3348"/>
    <outlinePr summaryBelow="1" summaryRight="1"/>
    <pageSetUpPr/>
  </sheetPr>
  <dimension ref="B2:L45"/>
  <sheetViews>
    <sheetView showGridLines="0" tabSelected="1"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46" customWidth="1" min="2" max="2"/>
    <col width="14" customWidth="1" min="3" max="3"/>
    <col width="14" customWidth="1" min="4" max="4"/>
    <col width="14" customWidth="1" min="5" max="5"/>
    <col width="14" customWidth="1" min="6" max="6"/>
    <col width="14" customWidth="1" min="7" max="7"/>
    <col width="14" customWidth="1" min="8" max="8"/>
    <col width="12.6" customWidth="1" min="9" max="9"/>
    <col width="12.6" customWidth="1" min="10" max="10"/>
    <col width="2.2" customWidth="1" min="11" max="11"/>
    <col width="62" customWidth="1" min="12" max="12"/>
  </cols>
  <sheetData>
    <row r="2" ht="21" customHeight="1">
      <c r="B2" s="1" t="inlineStr">
        <is>
          <t>M/I Homes (NYSE: MHO) — Initiation of Coverage</t>
        </is>
      </c>
    </row>
    <row r="3">
      <c r="B3" s="2" t="inlineStr">
        <is>
          <t>Prepared 04-Sep-2026.  All figures traceable to SEC filings; see README for sources.</t>
        </is>
      </c>
    </row>
    <row r="5" ht="15.5" customHeight="1">
      <c r="B5" s="3" t="inlineStr">
        <is>
          <t>RECOMMENDATION</t>
        </is>
      </c>
      <c r="C5" s="3" t="n"/>
      <c r="D5" s="3" t="n"/>
      <c r="E5" s="3" t="n"/>
      <c r="F5" s="3" t="n"/>
      <c r="G5" s="3" t="n"/>
      <c r="H5" s="3" t="n"/>
      <c r="I5" s="3" t="n"/>
      <c r="J5" s="3" t="n"/>
    </row>
    <row r="6">
      <c r="B6" s="6" t="inlineStr">
        <is>
          <t>Rating</t>
        </is>
      </c>
      <c r="C6" s="7" t="inlineStr">
        <is>
          <t>UNDERWEIGHT</t>
        </is>
      </c>
    </row>
    <row r="7">
      <c r="B7" s="6" t="inlineStr">
        <is>
          <t>12-month price target ($)</t>
        </is>
      </c>
      <c r="C7" s="8" t="n">
        <v>152</v>
      </c>
      <c r="L7" s="9" t="inlineStr">
        <is>
          <t>Weighted across the four methods below. See the note for how the weights were chosen.</t>
        </is>
      </c>
    </row>
    <row r="8">
      <c r="B8" s="10" t="inlineStr">
        <is>
          <t>Current price ($)</t>
        </is>
      </c>
      <c r="C8" s="11">
        <f>Assumptions!$C$60</f>
        <v/>
      </c>
    </row>
    <row r="9">
      <c r="B9" s="6" t="inlineStr">
        <is>
          <t>Implied total return (%)</t>
        </is>
      </c>
      <c r="C9" s="12">
        <f>C7/C8-1</f>
        <v/>
      </c>
      <c r="L9" s="9" t="inlineStr">
        <is>
          <t>No dividend. The entire return is price plus the buyback.</t>
        </is>
      </c>
    </row>
    <row r="10">
      <c r="B10" s="10" t="inlineStr">
        <is>
          <t>Market capitalisation ($m)</t>
        </is>
      </c>
      <c r="C10" s="13">
        <f>Assumptions!$C$60*Assumptions!$C$61/1000</f>
        <v/>
      </c>
    </row>
    <row r="11" ht="6" customHeight="1"/>
    <row r="12" ht="15.5" customHeight="1">
      <c r="B12" s="3" t="inlineStr">
        <is>
          <t>THE CALL IN ONE PARAGRAPH</t>
        </is>
      </c>
      <c r="C12" s="3" t="n"/>
      <c r="D12" s="3" t="n"/>
      <c r="E12" s="3" t="n"/>
      <c r="F12" s="3" t="n"/>
      <c r="G12" s="3" t="n"/>
      <c r="H12" s="3" t="n"/>
      <c r="I12" s="3" t="n"/>
      <c r="J12" s="3" t="n"/>
    </row>
    <row r="13">
      <c r="B13" s="14" t="inlineStr">
        <is>
          <t>North Carolina led the country in net domestic in-migration in the year to July 2025. M/I Homes' Southern segment — which contains</t>
        </is>
      </c>
    </row>
    <row r="14">
      <c r="B14" s="14" t="inlineStr">
        <is>
          <t>Raleigh and Charlotte — nonetheless saw its operating margin fall from 18.1% to 10.4% in a single year, while the unfashionable Northern</t>
        </is>
      </c>
    </row>
    <row r="15">
      <c r="B15" s="14" t="inlineStr">
        <is>
          <t>segment held at 14.7%. Mortgage rates were flat across that period, so this was not a rate shock: it was competition for a buyer who could</t>
        </is>
      </c>
    </row>
    <row r="16">
      <c r="B16" s="14" t="inlineStr">
        <is>
          <t>not afford the house. Cost per home barely moved. The whole margin decline was price given back at the closing table.</t>
        </is>
      </c>
    </row>
    <row r="17">
      <c r="B17" s="14" t="inlineStr">
        <is>
          <t>MHO is a well-run, net-cash builder buying back 5% of its shares a year, and at 1.16x book it is not expensive. But it now earns roughly</t>
        </is>
      </c>
    </row>
    <row r="18">
      <c r="B18" s="14" t="inlineStr">
        <is>
          <t>its cost of equity, and peer price-to-book is 96% explained by return on equity. At a 9.7% trailing ROE, the stock is already trading</t>
        </is>
      </c>
    </row>
    <row r="19">
      <c r="B19" s="14" t="inlineStr">
        <is>
          <t>slightly above what the peer regression says it deserves. We initiate at Neutral: fairly valued, with the margin recovery unpaid for.</t>
        </is>
      </c>
    </row>
    <row r="20" ht="6" customHeight="1"/>
    <row r="21" ht="15.5" customHeight="1">
      <c r="B21" s="3" t="inlineStr">
        <is>
          <t>VALUATION SUMMARY — where the methods agree and where they do not</t>
        </is>
      </c>
      <c r="C21" s="3" t="n"/>
      <c r="D21" s="3" t="n"/>
      <c r="E21" s="3" t="n"/>
      <c r="F21" s="3" t="n"/>
      <c r="G21" s="3" t="n"/>
      <c r="H21" s="3" t="n"/>
      <c r="I21" s="3" t="n"/>
      <c r="J21" s="3" t="n"/>
    </row>
    <row r="22">
      <c r="B22" s="15" t="inlineStr">
        <is>
          <t>Method</t>
        </is>
      </c>
      <c r="C22" s="15" t="inlineStr">
        <is>
          <t>Value $</t>
        </is>
      </c>
      <c r="E22" s="15" t="inlineStr">
        <is>
          <t>vs price</t>
        </is>
      </c>
      <c r="G22" s="15" t="inlineStr">
        <is>
          <t>Weight</t>
        </is>
      </c>
      <c r="H22" s="15" t="inlineStr">
        <is>
          <t>Contribution</t>
        </is>
      </c>
    </row>
    <row r="23">
      <c r="B23" s="14" t="inlineStr">
        <is>
          <t>Discounted cash flow (rolled forward 12 months)</t>
        </is>
      </c>
      <c r="C23" s="11">
        <f>DCF!$C$44*(1+DCF!$C$9/100)</f>
        <v/>
      </c>
      <c r="E23" s="16">
        <f>C23/C8-1</f>
        <v/>
      </c>
      <c r="G23" s="17" t="n">
        <v>0.6</v>
      </c>
      <c r="H23" s="11">
        <f>C23*G23</f>
        <v/>
      </c>
      <c r="L23" s="9" t="inlineStr">
        <is>
          <t>What the business earns, and what is left for shareholders after land absorbs its share. Weighted more heavily because it is the only method that prices the return gap.</t>
        </is>
      </c>
    </row>
    <row r="24">
      <c r="B24" s="14" t="inlineStr">
        <is>
          <t>Peer median P/B on Sep-2027E book</t>
        </is>
      </c>
      <c r="C24" s="11">
        <f>Comps!H35</f>
        <v/>
      </c>
      <c r="E24" s="16">
        <f>C24/C8-1</f>
        <v/>
      </c>
      <c r="G24" s="17" t="n">
        <v>0.4</v>
      </c>
      <c r="H24" s="11">
        <f>C24*G24</f>
        <v/>
      </c>
      <c r="L24" s="9" t="inlineStr">
        <is>
          <t>What the market pays other builders for a dollar of book. The multiple comes from the comp set, not from MHO, which is what makes this independent of the DCF and able to disagree with the current price.</t>
        </is>
      </c>
    </row>
    <row r="25">
      <c r="B25" s="18" t="inlineStr">
        <is>
          <t>Weighted value per share</t>
        </is>
      </c>
      <c r="C25" s="19" t="n"/>
      <c r="E25" s="19" t="n"/>
      <c r="G25" s="20">
        <f>SUM(G23:G24)</f>
        <v/>
      </c>
      <c r="H25" s="21">
        <f>SUM(H23:H24)</f>
        <v/>
      </c>
    </row>
    <row r="26">
      <c r="B26" s="22" t="inlineStr">
        <is>
          <t>Cross-check: probability-weighted value (25/50/25 across the scenarios below)</t>
        </is>
      </c>
      <c r="H26" s="23">
        <f>0.25*F30+0.5*F31+0.25*F32</f>
        <v/>
      </c>
      <c r="L26" s="9" t="inlineStr">
        <is>
          <t>Not a second price target — a test of the rating. A probability-weighted value below the share price is what makes this a Sell rather than a Hold.</t>
        </is>
      </c>
    </row>
    <row r="28" ht="15.5" customHeight="1">
      <c r="B28" s="3" t="inlineStr">
        <is>
          <t>SCENARIOS</t>
        </is>
      </c>
      <c r="C28" s="3" t="n"/>
      <c r="D28" s="3" t="n"/>
      <c r="E28" s="3" t="n"/>
      <c r="F28" s="3" t="n"/>
      <c r="G28" s="3" t="n"/>
      <c r="H28" s="3" t="n"/>
      <c r="I28" s="3" t="n"/>
      <c r="J28" s="3" t="n"/>
    </row>
    <row r="29">
      <c r="B29" s="15" t="inlineStr">
        <is>
          <t>Scenario</t>
        </is>
      </c>
      <c r="C29" s="15" t="inlineStr">
        <is>
          <t>2027E EPS</t>
        </is>
      </c>
      <c r="D29" s="15" t="inlineStr">
        <is>
          <t>2030E EPS</t>
        </is>
      </c>
      <c r="E29" s="15" t="inlineStr">
        <is>
          <t>2028E ROE</t>
        </is>
      </c>
      <c r="F29" s="15" t="inlineStr">
        <is>
          <t>Value $</t>
        </is>
      </c>
      <c r="G29" s="15" t="inlineStr">
        <is>
          <t>vs price</t>
        </is>
      </c>
      <c r="L29" s="15" t="inlineStr">
        <is>
          <t>What has to be true</t>
        </is>
      </c>
    </row>
    <row r="30" ht="30" customHeight="1">
      <c r="B30" s="24" t="inlineStr">
        <is>
          <t>Bull</t>
        </is>
      </c>
      <c r="C30" s="11" t="n">
        <v>16.19294706284738</v>
      </c>
      <c r="D30" s="11" t="n">
        <v>26.14913067485417</v>
      </c>
      <c r="E30" s="16" t="n">
        <v>0.1258466063643327</v>
      </c>
      <c r="F30" s="25" t="n">
        <v>205</v>
      </c>
      <c r="G30" s="26">
        <f>F30/$C$8-1</f>
        <v/>
      </c>
      <c r="L30" s="9" t="inlineStr">
        <is>
          <t>Mortgage rates to 5.4% by 2028 and Sunbelt spec supply clears: Southern incentives fall to 4.6pp of price by 2028. Southern operating margin back to 15%.</t>
        </is>
      </c>
    </row>
    <row r="31" ht="30" customHeight="1">
      <c r="B31" s="27" t="inlineStr">
        <is>
          <t>Base</t>
        </is>
      </c>
      <c r="C31" s="28" t="n">
        <v>14.06119322936485</v>
      </c>
      <c r="D31" s="28" t="n">
        <v>21.15692798587284</v>
      </c>
      <c r="E31" s="29" t="n">
        <v>0.1084713042026645</v>
      </c>
      <c r="F31" s="30" t="n">
        <v>160</v>
      </c>
      <c r="G31" s="31">
        <f>F31/$C$8-1</f>
        <v/>
      </c>
      <c r="L31" s="9" t="inlineStr">
        <is>
          <t>Rates grind to ~6.1%; Southern competition premium halves by 2029 but never disappears. Southern operating margin recovers to 12.9%, not the 18% of 2024.</t>
        </is>
      </c>
    </row>
    <row r="32" ht="30" customHeight="1">
      <c r="B32" s="24" t="inlineStr">
        <is>
          <t>Bear</t>
        </is>
      </c>
      <c r="C32" s="11" t="n">
        <v>9.529085045303544</v>
      </c>
      <c r="D32" s="11" t="n">
        <v>9.886166281029503</v>
      </c>
      <c r="E32" s="16" t="n">
        <v>0.06694434902229758</v>
      </c>
      <c r="F32" s="25" t="n">
        <v>95</v>
      </c>
      <c r="G32" s="26">
        <f>F32/$C$8-1</f>
        <v/>
      </c>
      <c r="L32" s="9" t="inlineStr">
        <is>
          <t>Rates hold near 7%; Sunbelt oversupply persists and incentives ratchet to 12pp. Deliveries fall, cost inflation resumes. ROE settles near 6.5% and the stock de-rates to 0.6x book.</t>
        </is>
      </c>
    </row>
    <row r="33" ht="6" customHeight="1"/>
    <row r="34" ht="15.5" customHeight="1">
      <c r="B34" s="3" t="inlineStr">
        <is>
          <t>KEY FINANCIALS</t>
        </is>
      </c>
      <c r="C34" s="3" t="n"/>
      <c r="D34" s="3" t="n"/>
      <c r="E34" s="3" t="n"/>
      <c r="F34" s="3" t="n"/>
      <c r="G34" s="3" t="n"/>
      <c r="H34" s="3" t="n"/>
      <c r="I34" s="3" t="n"/>
      <c r="J34" s="3" t="n"/>
    </row>
    <row r="35">
      <c r="B35" s="32" t="inlineStr">
        <is>
          <t>($ in millions except per-share)</t>
        </is>
      </c>
      <c r="C35" s="33" t="inlineStr">
        <is>
          <t>2024A</t>
        </is>
      </c>
      <c r="D35" s="33" t="inlineStr">
        <is>
          <t>2025A</t>
        </is>
      </c>
      <c r="E35" s="33" t="inlineStr">
        <is>
          <t>2026E</t>
        </is>
      </c>
      <c r="F35" s="33" t="inlineStr">
        <is>
          <t>2027E</t>
        </is>
      </c>
      <c r="G35" s="33" t="inlineStr">
        <is>
          <t>2028E</t>
        </is>
      </c>
    </row>
    <row r="36">
      <c r="B36" s="10" t="inlineStr">
        <is>
          <t>Revenue</t>
        </is>
      </c>
      <c r="C36" s="13">
        <f>IS!D11/1000</f>
        <v/>
      </c>
      <c r="D36" s="13">
        <f>IS!E11/1000</f>
        <v/>
      </c>
      <c r="E36" s="13">
        <f>IS!F11/1000</f>
        <v/>
      </c>
      <c r="F36" s="13">
        <f>IS!G11/1000</f>
        <v/>
      </c>
      <c r="G36" s="13">
        <f>IS!H11/1000</f>
        <v/>
      </c>
    </row>
    <row r="37">
      <c r="B37" s="10" t="inlineStr">
        <is>
          <t>Homes delivered</t>
        </is>
      </c>
      <c r="C37" s="13">
        <f>'Segment Build'!D8+'Segment Build'!D18</f>
        <v/>
      </c>
      <c r="D37" s="13">
        <f>'Segment Build'!E8+'Segment Build'!E18</f>
        <v/>
      </c>
      <c r="E37" s="13">
        <f>'Segment Build'!F8+'Segment Build'!F18</f>
        <v/>
      </c>
      <c r="F37" s="13">
        <f>'Segment Build'!G8+'Segment Build'!G18</f>
        <v/>
      </c>
      <c r="G37" s="13">
        <f>'Segment Build'!H8+'Segment Build'!H18</f>
        <v/>
      </c>
    </row>
    <row r="38">
      <c r="B38" s="6" t="inlineStr">
        <is>
          <t>Gross margin — homebuilding (%)</t>
        </is>
      </c>
      <c r="C38" s="34">
        <f>1-IS!D14/(IS!D8+IS!D9)</f>
        <v/>
      </c>
      <c r="D38" s="34">
        <f>1-IS!E14/(IS!E8+IS!E9)</f>
        <v/>
      </c>
      <c r="E38" s="34">
        <f>1-IS!F14/(IS!F8+IS!F9)</f>
        <v/>
      </c>
      <c r="F38" s="34">
        <f>1-IS!G14/(IS!G8+IS!G9)</f>
        <v/>
      </c>
      <c r="G38" s="34">
        <f>1-IS!H14/(IS!H8+IS!H9)</f>
        <v/>
      </c>
    </row>
    <row r="39">
      <c r="B39" s="10" t="inlineStr">
        <is>
          <t>Operating margin (%)</t>
        </is>
      </c>
      <c r="C39" s="16">
        <f>IS!D26/IS!D11</f>
        <v/>
      </c>
      <c r="D39" s="16">
        <f>IS!E26/IS!E11</f>
        <v/>
      </c>
      <c r="E39" s="16">
        <f>IS!F26/IS!F11</f>
        <v/>
      </c>
      <c r="F39" s="16">
        <f>IS!G26/IS!G11</f>
        <v/>
      </c>
      <c r="G39" s="16">
        <f>IS!H26/IS!H11</f>
        <v/>
      </c>
    </row>
    <row r="40">
      <c r="B40" s="6" t="inlineStr">
        <is>
          <t>Southern operating margin (%)</t>
        </is>
      </c>
      <c r="C40" s="34">
        <f>IS!D42/IS!D9</f>
        <v/>
      </c>
      <c r="D40" s="34">
        <f>IS!E42/IS!E9</f>
        <v/>
      </c>
      <c r="E40" s="34">
        <f>IS!F42/IS!F9</f>
        <v/>
      </c>
      <c r="F40" s="34">
        <f>IS!G42/IS!G9</f>
        <v/>
      </c>
      <c r="G40" s="34">
        <f>IS!H42/IS!H9</f>
        <v/>
      </c>
    </row>
    <row r="41">
      <c r="B41" s="6" t="inlineStr">
        <is>
          <t>Northern operating margin (%)</t>
        </is>
      </c>
      <c r="C41" s="34">
        <f>IS!D41/IS!D8</f>
        <v/>
      </c>
      <c r="D41" s="34">
        <f>IS!E41/IS!E8</f>
        <v/>
      </c>
      <c r="E41" s="34">
        <f>IS!F41/IS!F8</f>
        <v/>
      </c>
      <c r="F41" s="34">
        <f>IS!G41/IS!G8</f>
        <v/>
      </c>
      <c r="G41" s="34">
        <f>IS!H41/IS!H8</f>
        <v/>
      </c>
    </row>
    <row r="42">
      <c r="B42" s="6" t="inlineStr">
        <is>
          <t>Diluted EPS ($)</t>
        </is>
      </c>
      <c r="C42" s="35">
        <f>IS!D37</f>
        <v/>
      </c>
      <c r="D42" s="35">
        <f>IS!E37</f>
        <v/>
      </c>
      <c r="E42" s="35">
        <f>IS!F37</f>
        <v/>
      </c>
      <c r="F42" s="35">
        <f>IS!G37</f>
        <v/>
      </c>
      <c r="G42" s="35">
        <f>IS!H37</f>
        <v/>
      </c>
    </row>
    <row r="43">
      <c r="B43" s="10" t="inlineStr">
        <is>
          <t>Book value per share ($)</t>
        </is>
      </c>
      <c r="C43" s="11">
        <f>BS!D25</f>
        <v/>
      </c>
      <c r="D43" s="11">
        <f>BS!E25</f>
        <v/>
      </c>
      <c r="E43" s="11">
        <f>BS!F25</f>
        <v/>
      </c>
      <c r="F43" s="11">
        <f>BS!G25</f>
        <v/>
      </c>
      <c r="G43" s="11">
        <f>BS!H25</f>
        <v/>
      </c>
    </row>
    <row r="44">
      <c r="B44" s="6" t="inlineStr">
        <is>
          <t>Return on equity (%)</t>
        </is>
      </c>
      <c r="C44" s="34">
        <f>BS!D29</f>
        <v/>
      </c>
      <c r="D44" s="34">
        <f>BS!E29</f>
        <v/>
      </c>
      <c r="E44" s="34">
        <f>BS!F29</f>
        <v/>
      </c>
      <c r="F44" s="34">
        <f>BS!G29</f>
        <v/>
      </c>
      <c r="G44" s="34">
        <f>BS!H29</f>
        <v/>
      </c>
    </row>
    <row r="45">
      <c r="B45" s="10" t="inlineStr">
        <is>
          <t>Net debt / (net cash)</t>
        </is>
      </c>
      <c r="C45" s="13">
        <f>BS!D27/1000</f>
        <v/>
      </c>
      <c r="D45" s="13">
        <f>BS!E27/1000</f>
        <v/>
      </c>
      <c r="E45" s="13">
        <f>BS!F27/1000</f>
        <v/>
      </c>
      <c r="F45" s="13">
        <f>BS!G27/1000</f>
        <v/>
      </c>
      <c r="G45" s="13">
        <f>BS!H27/1000</f>
        <v/>
      </c>
    </row>
  </sheetData>
  <pageMargins left="0.75" right="0.75" top="1" bottom="1" header="0.5" footer="0.5"/>
</worksheet>
</file>

<file path=xl/worksheets/sheet3.xml><?xml version="1.0" encoding="utf-8"?>
<worksheet xmlns="http://schemas.openxmlformats.org/spreadsheetml/2006/main">
  <sheetPr>
    <tabColor rgb="001F3348"/>
    <outlinePr summaryBelow="1" summaryRight="1"/>
    <pageSetUpPr/>
  </sheetPr>
  <dimension ref="B2:L61"/>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44" customWidth="1" min="2" max="2"/>
    <col width="12.6" customWidth="1" min="3" max="3"/>
    <col width="12.6" customWidth="1" min="4" max="4"/>
    <col width="12.6" customWidth="1" min="5" max="5"/>
    <col width="12.6" customWidth="1" min="6" max="6"/>
    <col width="12.6" customWidth="1" min="7" max="7"/>
    <col width="12.6" customWidth="1" min="8" max="8"/>
    <col width="12.6" customWidth="1" min="9" max="9"/>
    <col width="12.6" customWidth="1" min="10" max="10"/>
    <col width="2.2" customWidth="1" min="11" max="11"/>
    <col width="62" customWidth="1" min="12" max="12"/>
  </cols>
  <sheetData>
    <row r="2" ht="21" customHeight="1">
      <c r="B2" s="1" t="inlineStr">
        <is>
          <t>Assumptions &amp; Drivers</t>
        </is>
      </c>
    </row>
    <row r="3">
      <c r="B3" s="2" t="inlineStr">
        <is>
          <t>Blue = hard-coded input. Every projected line in this model traces back to this sheet. Flex the incentive block first — it is where the thesis lives.</t>
        </is>
      </c>
    </row>
    <row r="5" ht="18" customHeight="1">
      <c r="B5" s="36" t="inlineStr">
        <is>
          <t>DRIVER</t>
        </is>
      </c>
      <c r="C5" s="37" t="inlineStr">
        <is>
          <t>2023A</t>
        </is>
      </c>
      <c r="D5" s="37" t="inlineStr">
        <is>
          <t>2024A</t>
        </is>
      </c>
      <c r="E5" s="37" t="inlineStr">
        <is>
          <t>2025A</t>
        </is>
      </c>
      <c r="F5" s="37" t="inlineStr">
        <is>
          <t>2026E</t>
        </is>
      </c>
      <c r="G5" s="37" t="inlineStr">
        <is>
          <t>2027E</t>
        </is>
      </c>
      <c r="H5" s="37" t="inlineStr">
        <is>
          <t>2028E</t>
        </is>
      </c>
      <c r="I5" s="37" t="inlineStr">
        <is>
          <t>2029E</t>
        </is>
      </c>
      <c r="J5" s="37" t="inlineStr">
        <is>
          <t>2030E</t>
        </is>
      </c>
    </row>
    <row r="6" ht="6" customHeight="1"/>
    <row r="7" ht="15.5" customHeight="1">
      <c r="B7" s="3" t="inlineStr">
        <is>
          <t>MACRO</t>
        </is>
      </c>
      <c r="C7" s="3" t="n"/>
      <c r="D7" s="3" t="n"/>
      <c r="E7" s="3" t="n"/>
      <c r="F7" s="3" t="n"/>
      <c r="G7" s="3" t="n"/>
      <c r="H7" s="3" t="n"/>
      <c r="I7" s="3" t="n"/>
      <c r="J7" s="3" t="n"/>
    </row>
    <row r="8">
      <c r="B8" s="38" t="inlineStr">
        <is>
          <t>30-yr fixed mortgage rate (annual avg, %)</t>
        </is>
      </c>
      <c r="C8" s="39" t="n">
        <v>6.81</v>
      </c>
      <c r="D8" s="39" t="n">
        <v>6.8</v>
      </c>
      <c r="E8" s="39" t="n">
        <v>6.72</v>
      </c>
      <c r="F8" s="39" t="n">
        <v>6.65</v>
      </c>
      <c r="G8" s="39" t="n">
        <v>6.35</v>
      </c>
      <c r="H8" s="39" t="n">
        <v>6.1</v>
      </c>
      <c r="I8" s="39" t="n">
        <v>5.95</v>
      </c>
      <c r="J8" s="39" t="n">
        <v>5.9</v>
      </c>
      <c r="L8" s="9" t="inlineStr">
        <is>
          <t>2023–25 actual (FRED MORTGAGE30US annual avg). 2026E+ forecast. Spot = 6.71% at 03-Sep-2026.</t>
        </is>
      </c>
    </row>
    <row r="9">
      <c r="B9" s="14" t="inlineStr">
        <is>
          <t>Neutral mortgage rate (%)</t>
        </is>
      </c>
      <c r="C9" s="39" t="n">
        <v>5.5</v>
      </c>
      <c r="L9" s="2" t="inlineStr">
        <is>
          <t>Rate at which a builder needs no abnormal incentive. Single input — applies to all years.</t>
        </is>
      </c>
    </row>
    <row r="10" ht="6" customHeight="1"/>
    <row r="11" ht="15.5" customHeight="1">
      <c r="B11" s="3" t="inlineStr">
        <is>
          <t>INCENTIVE INTENSITY  —  incentive load (% of gross ASP) = base + rate slope x (mortgage rate − neutral) + competition premium</t>
        </is>
      </c>
      <c r="C11" s="3" t="n"/>
      <c r="D11" s="3" t="n"/>
      <c r="E11" s="3" t="n"/>
      <c r="F11" s="3" t="n"/>
      <c r="G11" s="3" t="n"/>
      <c r="H11" s="3" t="n"/>
      <c r="I11" s="3" t="n"/>
      <c r="J11" s="3" t="n"/>
    </row>
    <row r="12">
      <c r="B12" s="14" t="inlineStr">
        <is>
          <t>Northern — base incentive (% of gross ASP)</t>
        </is>
      </c>
      <c r="C12" s="39" t="n">
        <v>0.9389999999999999</v>
      </c>
    </row>
    <row r="13">
      <c r="B13" s="14" t="inlineStr">
        <is>
          <t>Northern — rate slope (pp per 100bp above neutral)</t>
        </is>
      </c>
      <c r="C13" s="40" t="n">
        <v>0.9</v>
      </c>
    </row>
    <row r="14">
      <c r="B14" s="38" t="inlineStr">
        <is>
          <t>Northern — competition premium (pp)</t>
        </is>
      </c>
      <c r="C14" s="39" t="n">
        <v>0</v>
      </c>
      <c r="D14" s="39" t="n">
        <v>0</v>
      </c>
      <c r="E14" s="39" t="n">
        <v>1.209</v>
      </c>
      <c r="F14" s="39" t="n">
        <v>3.51</v>
      </c>
      <c r="G14" s="39" t="n">
        <v>3.15</v>
      </c>
      <c r="H14" s="39" t="n">
        <v>2.9</v>
      </c>
      <c r="I14" s="39" t="n">
        <v>2.75</v>
      </c>
      <c r="J14" s="39" t="n">
        <v>2.65</v>
      </c>
      <c r="L14" s="9" t="inlineStr">
        <is>
          <t>Incentive over and above what the rate alone justifies. Zero through 2025 by construction — the Northern margin held.</t>
        </is>
      </c>
    </row>
    <row r="15">
      <c r="B15" s="14" t="inlineStr">
        <is>
          <t>Southern — base incentive (% of gross ASP)</t>
        </is>
      </c>
      <c r="C15" s="39" t="n">
        <v>1.944</v>
      </c>
    </row>
    <row r="16">
      <c r="B16" s="14" t="inlineStr">
        <is>
          <t>Southern — rate slope (pp per 100bp above neutral)</t>
        </is>
      </c>
      <c r="C16" s="40" t="n">
        <v>1.2</v>
      </c>
    </row>
    <row r="17">
      <c r="B17" s="38" t="inlineStr">
        <is>
          <t>Southern — competition premium (pp)</t>
        </is>
      </c>
      <c r="C17" s="39" t="n">
        <v>0</v>
      </c>
      <c r="D17" s="39" t="n">
        <v>0</v>
      </c>
      <c r="E17" s="39" t="n">
        <v>1.972</v>
      </c>
      <c r="F17" s="39" t="n">
        <v>4.371</v>
      </c>
      <c r="G17" s="39" t="n">
        <v>3.75</v>
      </c>
      <c r="H17" s="39" t="n">
        <v>3.3</v>
      </c>
      <c r="I17" s="39" t="n">
        <v>3</v>
      </c>
      <c r="J17" s="39" t="n">
        <v>2.8</v>
      </c>
      <c r="L17" s="9" t="inlineStr">
        <is>
          <t>THE KEY INPUT. 3.6pp in 2025 and 6.0pp in 2026E: mortgage rates were flat 2024→2025, so the Southern margin collapse is a supply/competition event, not a rate event. Flex this before anything else.</t>
        </is>
      </c>
    </row>
    <row r="18" ht="6" customHeight="1"/>
    <row r="19" ht="15.5" customHeight="1">
      <c r="B19" s="3" t="inlineStr">
        <is>
          <t>VOLUME, PRICE AND COST  (growth rates, % — projections only)</t>
        </is>
      </c>
      <c r="C19" s="3" t="n"/>
      <c r="D19" s="3" t="n"/>
      <c r="E19" s="3" t="n"/>
      <c r="F19" s="3" t="n"/>
      <c r="G19" s="3" t="n"/>
      <c r="H19" s="3" t="n"/>
      <c r="I19" s="3" t="n"/>
      <c r="J19" s="3" t="n"/>
    </row>
    <row r="20">
      <c r="B20" s="38" t="inlineStr">
        <is>
          <t>Deliveries growth — Northern (%)</t>
        </is>
      </c>
      <c r="F20" s="39" t="n">
        <v>-3.9</v>
      </c>
      <c r="G20" s="39" t="n">
        <v>3.5</v>
      </c>
      <c r="H20" s="39" t="n">
        <v>4</v>
      </c>
      <c r="I20" s="39" t="n">
        <v>3.25</v>
      </c>
      <c r="J20" s="39" t="n">
        <v>3</v>
      </c>
    </row>
    <row r="21">
      <c r="B21" s="38" t="inlineStr">
        <is>
          <t>Deliveries growth — Southern (%)</t>
        </is>
      </c>
      <c r="F21" s="39" t="n">
        <v>-4.3</v>
      </c>
      <c r="G21" s="39" t="n">
        <v>5</v>
      </c>
      <c r="H21" s="39" t="n">
        <v>5.5</v>
      </c>
      <c r="I21" s="39" t="n">
        <v>4.25</v>
      </c>
      <c r="J21" s="39" t="n">
        <v>4</v>
      </c>
    </row>
    <row r="22">
      <c r="B22" s="38" t="inlineStr">
        <is>
          <t>Gross ASP growth — Northern (%)</t>
        </is>
      </c>
      <c r="F22" s="39" t="n">
        <v>1</v>
      </c>
      <c r="G22" s="39" t="n">
        <v>2</v>
      </c>
      <c r="H22" s="39" t="n">
        <v>2.25</v>
      </c>
      <c r="I22" s="39" t="n">
        <v>2.5</v>
      </c>
      <c r="J22" s="39" t="n">
        <v>2.5</v>
      </c>
      <c r="L22" s="9" t="inlineStr">
        <is>
          <t>Gross ASP = list price before incentives.</t>
        </is>
      </c>
    </row>
    <row r="23">
      <c r="B23" s="38" t="inlineStr">
        <is>
          <t>Gross ASP growth — Southern (%)</t>
        </is>
      </c>
      <c r="F23" s="39" t="n">
        <v>-1.5</v>
      </c>
      <c r="G23" s="39" t="n">
        <v>1</v>
      </c>
      <c r="H23" s="39" t="n">
        <v>2</v>
      </c>
      <c r="I23" s="39" t="n">
        <v>2.25</v>
      </c>
      <c r="J23" s="39" t="n">
        <v>2.25</v>
      </c>
    </row>
    <row r="24">
      <c r="B24" s="38" t="inlineStr">
        <is>
          <t>Cost per home growth — Northern (%)</t>
        </is>
      </c>
      <c r="F24" s="39" t="n">
        <v>0</v>
      </c>
      <c r="G24" s="39" t="n">
        <v>2.2</v>
      </c>
      <c r="H24" s="39" t="n">
        <v>2.4</v>
      </c>
      <c r="I24" s="39" t="n">
        <v>2.5</v>
      </c>
      <c r="J24" s="39" t="n">
        <v>2.5</v>
      </c>
    </row>
    <row r="25">
      <c r="B25" s="38" t="inlineStr">
        <is>
          <t>Cost per home growth — Southern (%)</t>
        </is>
      </c>
      <c r="F25" s="39" t="n">
        <v>-0.3</v>
      </c>
      <c r="G25" s="39" t="n">
        <v>2</v>
      </c>
      <c r="H25" s="39" t="n">
        <v>2.3</v>
      </c>
      <c r="I25" s="39" t="n">
        <v>2.5</v>
      </c>
      <c r="J25" s="39" t="n">
        <v>2.5</v>
      </c>
      <c r="L25" s="9" t="inlineStr">
        <is>
          <t>Land + stick-and-brick + closing cost per unit delivered.</t>
        </is>
      </c>
    </row>
    <row r="26" ht="6" customHeight="1"/>
    <row r="27" ht="15.5" customHeight="1">
      <c r="B27" s="3" t="inlineStr">
        <is>
          <t>OTHER INCOME STATEMENT DRIVERS</t>
        </is>
      </c>
      <c r="C27" s="3" t="n"/>
      <c r="D27" s="3" t="n"/>
      <c r="E27" s="3" t="n"/>
      <c r="F27" s="3" t="n"/>
      <c r="G27" s="3" t="n"/>
      <c r="H27" s="3" t="n"/>
      <c r="I27" s="3" t="n"/>
      <c r="J27" s="3" t="n"/>
    </row>
    <row r="28">
      <c r="B28" s="38" t="inlineStr">
        <is>
          <t>Land sale revenue ($000)</t>
        </is>
      </c>
      <c r="F28" s="41" t="n">
        <v>22000</v>
      </c>
      <c r="G28" s="41" t="n">
        <v>24000</v>
      </c>
      <c r="H28" s="41" t="n">
        <v>26000</v>
      </c>
      <c r="I28" s="41" t="n">
        <v>28000</v>
      </c>
      <c r="J28" s="41" t="n">
        <v>30000</v>
      </c>
    </row>
    <row r="29">
      <c r="B29" s="38" t="inlineStr">
        <is>
          <t>Financial services revenue growth (%)</t>
        </is>
      </c>
      <c r="F29" s="39" t="n">
        <v>1.5</v>
      </c>
      <c r="G29" s="39" t="n">
        <v>5</v>
      </c>
      <c r="H29" s="39" t="n">
        <v>5.5</v>
      </c>
      <c r="I29" s="39" t="n">
        <v>4.5</v>
      </c>
      <c r="J29" s="39" t="n">
        <v>4.5</v>
      </c>
    </row>
    <row r="30">
      <c r="B30" s="38" t="inlineStr">
        <is>
          <t>Selling expense (% of homebuilding revenue)</t>
        </is>
      </c>
      <c r="F30" s="39" t="n">
        <v>6.2</v>
      </c>
      <c r="G30" s="39" t="n">
        <v>6</v>
      </c>
      <c r="H30" s="39" t="n">
        <v>5.8</v>
      </c>
      <c r="I30" s="39" t="n">
        <v>5.7</v>
      </c>
      <c r="J30" s="39" t="n">
        <v>5.65</v>
      </c>
    </row>
    <row r="31">
      <c r="B31" s="38" t="inlineStr">
        <is>
          <t>Homebuilding G&amp;A (% of homebuilding revenue)</t>
        </is>
      </c>
      <c r="F31" s="39" t="n">
        <v>2.8</v>
      </c>
      <c r="G31" s="39" t="n">
        <v>2.72</v>
      </c>
      <c r="H31" s="39" t="n">
        <v>2.66</v>
      </c>
      <c r="I31" s="39" t="n">
        <v>2.63</v>
      </c>
      <c r="J31" s="39" t="n">
        <v>2.6</v>
      </c>
    </row>
    <row r="32">
      <c r="B32" s="38" t="inlineStr">
        <is>
          <t>Corporate / unallocated ($000)</t>
        </is>
      </c>
      <c r="F32" s="41" t="n">
        <v>-93000</v>
      </c>
      <c r="G32" s="41" t="n">
        <v>-96500</v>
      </c>
      <c r="H32" s="41" t="n">
        <v>-100500</v>
      </c>
      <c r="I32" s="41" t="n">
        <v>-104500</v>
      </c>
      <c r="J32" s="41" t="n">
        <v>-108500</v>
      </c>
      <c r="L32" s="9" t="inlineStr">
        <is>
          <t>Not charged to either region in the 10-K segment note; averaged −$85m over 2023–25.</t>
        </is>
      </c>
    </row>
    <row r="33">
      <c r="B33" s="38" t="inlineStr">
        <is>
          <t>Inventory impairment &amp; write-offs ($000)</t>
        </is>
      </c>
      <c r="F33" s="41" t="n">
        <v>16000</v>
      </c>
      <c r="G33" s="41" t="n">
        <v>9000</v>
      </c>
      <c r="H33" s="41" t="n">
        <v>7000</v>
      </c>
      <c r="I33" s="41" t="n">
        <v>7000</v>
      </c>
      <c r="J33" s="41" t="n">
        <v>7000</v>
      </c>
      <c r="L33" s="9" t="inlineStr">
        <is>
          <t>$47.7m in 2025, of which $41.0m Southern.</t>
        </is>
      </c>
    </row>
    <row r="34">
      <c r="B34" s="38" t="inlineStr">
        <is>
          <t>Net interest income ($000)</t>
        </is>
      </c>
      <c r="F34" s="41" t="n">
        <v>18000</v>
      </c>
      <c r="G34" s="41" t="n">
        <v>16000</v>
      </c>
      <c r="H34" s="41" t="n">
        <v>15000</v>
      </c>
      <c r="I34" s="41" t="n">
        <v>15000</v>
      </c>
      <c r="J34" s="41" t="n">
        <v>16000</v>
      </c>
    </row>
    <row r="35">
      <c r="B35" s="14" t="inlineStr">
        <is>
          <t>Land sale gross margin (%)</t>
        </is>
      </c>
      <c r="C35" s="39" t="n">
        <v>7</v>
      </c>
    </row>
    <row r="36">
      <c r="B36" s="14" t="inlineStr">
        <is>
          <t>Share of land revenue in Southern (%)</t>
        </is>
      </c>
      <c r="C36" s="42" t="n">
        <v>65</v>
      </c>
    </row>
    <row r="37">
      <c r="B37" s="14" t="inlineStr">
        <is>
          <t>Financial services pre-tax margin (%)</t>
        </is>
      </c>
      <c r="C37" s="39" t="n">
        <v>54.5</v>
      </c>
      <c r="L37" s="2" t="inlineStr">
        <is>
          <t>54.3% in 2025 (op income $68.2m on revenue $125.5m).</t>
        </is>
      </c>
    </row>
    <row r="38">
      <c r="B38" s="14" t="inlineStr">
        <is>
          <t>Effective tax rate (%)</t>
        </is>
      </c>
      <c r="C38" s="39" t="n">
        <v>23.5</v>
      </c>
      <c r="L38" s="2" t="inlineStr">
        <is>
          <t>23.5% vs 23.5% in 2025; energy-efficiency credits keep it below statutory + state.</t>
        </is>
      </c>
    </row>
    <row r="39" ht="6" customHeight="1"/>
    <row r="40" ht="15.5" customHeight="1">
      <c r="B40" s="3" t="inlineStr">
        <is>
          <t>BALANCE SHEET &amp; CASH FLOW DRIVERS</t>
        </is>
      </c>
      <c r="C40" s="3" t="n"/>
      <c r="D40" s="3" t="n"/>
      <c r="E40" s="3" t="n"/>
      <c r="F40" s="3" t="n"/>
      <c r="G40" s="3" t="n"/>
      <c r="H40" s="3" t="n"/>
      <c r="I40" s="3" t="n"/>
      <c r="J40" s="3" t="n"/>
    </row>
    <row r="41">
      <c r="B41" s="38" t="inlineStr">
        <is>
          <t>Inventory turns (homebuilding revenue / ending inventory)</t>
        </is>
      </c>
      <c r="F41" s="40" t="n">
        <v>1.2</v>
      </c>
      <c r="G41" s="40" t="n">
        <v>1.22</v>
      </c>
      <c r="H41" s="40" t="n">
        <v>1.24</v>
      </c>
      <c r="I41" s="40" t="n">
        <v>1.25</v>
      </c>
      <c r="J41" s="40" t="n">
        <v>1.26</v>
      </c>
      <c r="L41" s="9" t="inlineStr">
        <is>
          <t>1.27x in 2025. Falls in 2026E as deliveries drop faster than the land pipeline.</t>
        </is>
      </c>
    </row>
    <row r="42">
      <c r="B42" s="38" t="inlineStr">
        <is>
          <t>Other operating assets (% of revenue)</t>
        </is>
      </c>
      <c r="F42" s="39" t="n">
        <v>14.3</v>
      </c>
      <c r="G42" s="39" t="n">
        <v>14.25</v>
      </c>
      <c r="H42" s="39" t="n">
        <v>14.2</v>
      </c>
      <c r="I42" s="39" t="n">
        <v>14.15</v>
      </c>
      <c r="J42" s="39" t="n">
        <v>14.1</v>
      </c>
    </row>
    <row r="43">
      <c r="B43" s="38" t="inlineStr">
        <is>
          <t>Other liabilities (% of revenue)</t>
        </is>
      </c>
      <c r="F43" s="39" t="n">
        <v>14.45</v>
      </c>
      <c r="G43" s="39" t="n">
        <v>14.5</v>
      </c>
      <c r="H43" s="39" t="n">
        <v>14.55</v>
      </c>
      <c r="I43" s="39" t="n">
        <v>14.55</v>
      </c>
      <c r="J43" s="39" t="n">
        <v>14.55</v>
      </c>
      <c r="L43" s="9" t="inlineStr">
        <is>
          <t>A/P, accrued comp, customer deposits, warranty reserve. 14.4% in 2025.</t>
        </is>
      </c>
    </row>
    <row r="44">
      <c r="B44" s="38" t="inlineStr">
        <is>
          <t>Capital expenditure ($000)</t>
        </is>
      </c>
      <c r="F44" s="41" t="n">
        <v>11000</v>
      </c>
      <c r="G44" s="41" t="n">
        <v>11500</v>
      </c>
      <c r="H44" s="41" t="n">
        <v>12000</v>
      </c>
      <c r="I44" s="41" t="n">
        <v>12500</v>
      </c>
      <c r="J44" s="41" t="n">
        <v>13000</v>
      </c>
    </row>
    <row r="45">
      <c r="B45" s="38" t="inlineStr">
        <is>
          <t>Depreciation &amp; amortisation ($000)</t>
        </is>
      </c>
      <c r="F45" s="41" t="n">
        <v>20000</v>
      </c>
      <c r="G45" s="41" t="n">
        <v>21000</v>
      </c>
      <c r="H45" s="41" t="n">
        <v>22000</v>
      </c>
      <c r="I45" s="41" t="n">
        <v>23000</v>
      </c>
      <c r="J45" s="41" t="n">
        <v>24000</v>
      </c>
    </row>
    <row r="46">
      <c r="B46" s="38" t="inlineStr">
        <is>
          <t>Stock-based compensation ($000)</t>
        </is>
      </c>
      <c r="F46" s="41" t="n">
        <v>17500</v>
      </c>
      <c r="G46" s="41" t="n">
        <v>18000</v>
      </c>
      <c r="H46" s="41" t="n">
        <v>18500</v>
      </c>
      <c r="I46" s="41" t="n">
        <v>19000</v>
      </c>
      <c r="J46" s="41" t="n">
        <v>19500</v>
      </c>
    </row>
    <row r="47">
      <c r="B47" s="38" t="inlineStr">
        <is>
          <t>Share repurchase ($000)</t>
        </is>
      </c>
      <c r="F47" s="41" t="n">
        <v>185000</v>
      </c>
      <c r="G47" s="41" t="n">
        <v>185000</v>
      </c>
      <c r="H47" s="41" t="n">
        <v>185000</v>
      </c>
      <c r="I47" s="41" t="n">
        <v>185000</v>
      </c>
      <c r="J47" s="41" t="n">
        <v>185000</v>
      </c>
      <c r="L47" s="9" t="inlineStr">
        <is>
          <t>$202m in 2025, $177m in 2024. Assumes management sustains the pace.</t>
        </is>
      </c>
    </row>
    <row r="48">
      <c r="B48" s="38" t="inlineStr">
        <is>
          <t>Average repurchase price ($)</t>
        </is>
      </c>
      <c r="F48" s="43" t="n">
        <v>150</v>
      </c>
      <c r="G48" s="43" t="n">
        <v>161</v>
      </c>
      <c r="H48" s="43" t="n">
        <v>174</v>
      </c>
      <c r="I48" s="43" t="n">
        <v>187</v>
      </c>
      <c r="J48" s="43" t="n">
        <v>200</v>
      </c>
    </row>
    <row r="49">
      <c r="B49" s="38" t="inlineStr">
        <is>
          <t>Option / RSU issuance (000 shares)</t>
        </is>
      </c>
      <c r="F49" s="41" t="n">
        <v>150</v>
      </c>
      <c r="G49" s="41" t="n">
        <v>150</v>
      </c>
      <c r="H49" s="41" t="n">
        <v>150</v>
      </c>
      <c r="I49" s="41" t="n">
        <v>150</v>
      </c>
      <c r="J49" s="41" t="n">
        <v>150</v>
      </c>
    </row>
    <row r="50">
      <c r="B50" s="38" t="inlineStr">
        <is>
          <t>Homebuilding debt ($000)</t>
        </is>
      </c>
      <c r="F50" s="41" t="n">
        <v>696500</v>
      </c>
      <c r="G50" s="41" t="n">
        <v>696500</v>
      </c>
      <c r="H50" s="41" t="n">
        <v>696500</v>
      </c>
      <c r="I50" s="41" t="n">
        <v>550000</v>
      </c>
      <c r="J50" s="41" t="n">
        <v>550000</v>
      </c>
      <c r="L50" s="9" t="inlineStr">
        <is>
          <t>Senior notes. 2029E step-down assumes the 2028 maturity is partly repaid from cash.</t>
        </is>
      </c>
    </row>
    <row r="51">
      <c r="B51" s="38" t="inlineStr">
        <is>
          <t>Financial services debt ($000)</t>
        </is>
      </c>
      <c r="F51" s="41" t="n">
        <v>290000</v>
      </c>
      <c r="G51" s="41" t="n">
        <v>305000</v>
      </c>
      <c r="H51" s="41" t="n">
        <v>322000</v>
      </c>
      <c r="I51" s="41" t="n">
        <v>336000</v>
      </c>
      <c r="J51" s="41" t="n">
        <v>351000</v>
      </c>
      <c r="L51" s="9" t="inlineStr">
        <is>
          <t>Mortgage warehouse facilities — matched by loans held for sale; excluded from net debt.</t>
        </is>
      </c>
    </row>
    <row r="52">
      <c r="B52" s="14" t="inlineStr">
        <is>
          <t>Property &amp; equipment at 31-Dec-2025 ($000)</t>
        </is>
      </c>
      <c r="C52" s="41" t="n">
        <v>70000</v>
      </c>
    </row>
    <row r="53" ht="6" customHeight="1"/>
    <row r="54" ht="15.5" customHeight="1">
      <c r="B54" s="3" t="inlineStr">
        <is>
          <t>VALUATION INPUTS</t>
        </is>
      </c>
      <c r="C54" s="3" t="n"/>
      <c r="D54" s="3" t="n"/>
      <c r="E54" s="3" t="n"/>
      <c r="F54" s="3" t="n"/>
      <c r="G54" s="3" t="n"/>
      <c r="H54" s="3" t="n"/>
      <c r="I54" s="3" t="n"/>
      <c r="J54" s="3" t="n"/>
    </row>
    <row r="55">
      <c r="B55" s="14" t="inlineStr">
        <is>
          <t>Risk-free rate — 10-yr UST (%)</t>
        </is>
      </c>
      <c r="C55" s="39" t="n">
        <v>4.79</v>
      </c>
      <c r="L55" s="2" t="inlineStr">
        <is>
          <t>FRED DGS10, 02-Sep-2026.</t>
        </is>
      </c>
    </row>
    <row r="56">
      <c r="B56" s="14" t="inlineStr">
        <is>
          <t>Equity risk premium (%)</t>
        </is>
      </c>
      <c r="C56" s="39" t="n">
        <v>5</v>
      </c>
    </row>
    <row r="57">
      <c r="B57" s="14" t="inlineStr">
        <is>
          <t>Beta (levered)</t>
        </is>
      </c>
      <c r="C57" s="40" t="n">
        <v>1.41</v>
      </c>
      <c r="L57" s="2" t="inlineStr">
        <is>
          <t>Blume-adjusted: 0.67 x the published 5-yr raw beta of 1.61, + 0.33 x 1.0. Raw historical betas are noisy and mean-revert, which is why Bloomberg reports the adjusted figure.</t>
        </is>
      </c>
    </row>
    <row r="58">
      <c r="B58" s="14" t="inlineStr">
        <is>
          <t>Pre-tax cost of debt (%)</t>
        </is>
      </c>
      <c r="C58" s="39" t="n">
        <v>6.25</v>
      </c>
      <c r="L58" s="2" t="inlineStr">
        <is>
          <t>BB index effective yield 6.03% (FRED BAMLH0A1HYBBEY) + 22bp. MHO upgraded to BB+ in 2026.</t>
        </is>
      </c>
    </row>
    <row r="59">
      <c r="B59" s="14" t="inlineStr">
        <is>
          <t>Terminal growth rate (%)</t>
        </is>
      </c>
      <c r="C59" s="39" t="n">
        <v>2.5</v>
      </c>
    </row>
    <row r="60">
      <c r="B60" s="14" t="inlineStr">
        <is>
          <t>Share price ($)</t>
        </is>
      </c>
      <c r="C60" s="25" t="n">
        <v>148.26</v>
      </c>
      <c r="L60" s="2" t="inlineStr">
        <is>
          <t>stockanalysis.com, 04-Sep-2026 11:44 ET.</t>
        </is>
      </c>
    </row>
    <row r="61">
      <c r="B61" s="14" t="inlineStr">
        <is>
          <t>Shares outstanding (000)</t>
        </is>
      </c>
      <c r="C61" s="41" t="n">
        <v>25276</v>
      </c>
      <c r="L61" s="2" t="inlineStr">
        <is>
          <t>Per Q2-26 10-Q cover.</t>
        </is>
      </c>
    </row>
  </sheetData>
  <pageMargins left="0.75" right="0.75" top="1" bottom="1" header="0.5" footer="0.5"/>
</worksheet>
</file>

<file path=xl/worksheets/sheet4.xml><?xml version="1.0" encoding="utf-8"?>
<worksheet xmlns="http://schemas.openxmlformats.org/spreadsheetml/2006/main">
  <sheetPr>
    <tabColor rgb="0034506B"/>
    <outlinePr summaryBelow="1" summaryRight="1"/>
    <pageSetUpPr/>
  </sheetPr>
  <dimension ref="B2:L78"/>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44" customWidth="1" min="2" max="2"/>
    <col width="12.6" customWidth="1" min="3" max="3"/>
    <col width="12.6" customWidth="1" min="4" max="4"/>
    <col width="12.6" customWidth="1" min="5" max="5"/>
    <col width="12.6" customWidth="1" min="6" max="6"/>
    <col width="12.6" customWidth="1" min="7" max="7"/>
    <col width="12.6" customWidth="1" min="8" max="8"/>
    <col width="12.6" customWidth="1" min="9" max="9"/>
    <col width="12.6" customWidth="1" min="10" max="10"/>
    <col width="2.2" customWidth="1" min="11" max="11"/>
    <col width="62" customWidth="1" min="12" max="12"/>
  </cols>
  <sheetData>
    <row r="2" ht="21" customHeight="1">
      <c r="B2" s="1" t="inlineStr">
        <is>
          <t>Historicals — as reported</t>
        </is>
      </c>
    </row>
    <row r="3">
      <c r="B3" s="2" t="inlineStr">
        <is>
          <t>Hand-entered from the FY2025 10-K (filed 13-Feb-2026) and the Q4 earnings releases. Nothing on this sheet is calculated except the check rows. Source for each block in column L.</t>
        </is>
      </c>
    </row>
    <row r="5" ht="18" customHeight="1">
      <c r="B5" s="36" t="inlineStr">
        <is>
          <t>($ in thousands unless noted)</t>
        </is>
      </c>
      <c r="C5" s="37" t="inlineStr">
        <is>
          <t>2023A</t>
        </is>
      </c>
      <c r="D5" s="37" t="inlineStr">
        <is>
          <t>2024A</t>
        </is>
      </c>
      <c r="E5" s="37" t="inlineStr">
        <is>
          <t>2025A</t>
        </is>
      </c>
      <c r="F5" s="37" t="inlineStr">
        <is>
          <t>2026E</t>
        </is>
      </c>
      <c r="G5" s="37" t="inlineStr">
        <is>
          <t>2027E</t>
        </is>
      </c>
      <c r="H5" s="37" t="inlineStr">
        <is>
          <t>2028E</t>
        </is>
      </c>
      <c r="I5" s="37" t="inlineStr">
        <is>
          <t>2029E</t>
        </is>
      </c>
      <c r="J5" s="37" t="inlineStr">
        <is>
          <t>2030E</t>
        </is>
      </c>
    </row>
    <row r="6" ht="6" customHeight="1"/>
    <row r="7" ht="15.5" customHeight="1">
      <c r="B7" s="3" t="inlineStr">
        <is>
          <t>OPERATING — by region   [FY2025 10-K MD&amp;A; Q4 earnings releases 2024–2026]</t>
        </is>
      </c>
      <c r="C7" s="3" t="n"/>
      <c r="D7" s="3" t="n"/>
      <c r="E7" s="3" t="n"/>
      <c r="F7" s="3" t="n"/>
      <c r="G7" s="3" t="n"/>
      <c r="H7" s="3" t="n"/>
      <c r="I7" s="3" t="n"/>
      <c r="J7" s="3" t="n"/>
    </row>
    <row r="8">
      <c r="B8" s="38" t="inlineStr">
        <is>
          <t>Homes delivered — Northern</t>
        </is>
      </c>
      <c r="C8" s="41" t="n">
        <v>3169</v>
      </c>
      <c r="D8" s="41" t="n">
        <v>3873</v>
      </c>
      <c r="E8" s="41" t="n">
        <v>3716</v>
      </c>
      <c r="L8" s="9" t="inlineStr">
        <is>
          <t>FY25 rel. p.6 / FY24 rel. / FY23 rel.</t>
        </is>
      </c>
    </row>
    <row r="9">
      <c r="B9" s="38" t="inlineStr">
        <is>
          <t>Homes delivered — Southern</t>
        </is>
      </c>
      <c r="C9" s="41" t="n">
        <v>4943</v>
      </c>
      <c r="D9" s="41" t="n">
        <v>5182</v>
      </c>
      <c r="E9" s="41" t="n">
        <v>5205</v>
      </c>
    </row>
    <row r="10">
      <c r="B10" s="44" t="inlineStr">
        <is>
          <t>Homes delivered — total</t>
        </is>
      </c>
      <c r="C10" s="45">
        <f>C8+C9</f>
        <v/>
      </c>
      <c r="D10" s="45">
        <f>D8+D9</f>
        <v/>
      </c>
      <c r="E10" s="45">
        <f>E8+E9</f>
        <v/>
      </c>
      <c r="L10" s="9" t="inlineStr">
        <is>
          <t>Ties to 8,112 / 9,055 / 8,921 as reported.</t>
        </is>
      </c>
    </row>
    <row r="11">
      <c r="B11" s="38" t="inlineStr">
        <is>
          <t>New contracts — Northern</t>
        </is>
      </c>
      <c r="C11" s="41" t="n">
        <v>3361</v>
      </c>
      <c r="D11" s="41" t="n">
        <v>3761</v>
      </c>
      <c r="E11" s="41" t="n">
        <v>3416</v>
      </c>
    </row>
    <row r="12">
      <c r="B12" s="38" t="inlineStr">
        <is>
          <t>New contracts — Southern</t>
        </is>
      </c>
      <c r="C12" s="41" t="n">
        <v>4616</v>
      </c>
      <c r="D12" s="41" t="n">
        <v>4823</v>
      </c>
      <c r="E12" s="41" t="n">
        <v>4783</v>
      </c>
    </row>
    <row r="13">
      <c r="B13" s="38" t="inlineStr">
        <is>
          <t>Backlog units — year end</t>
        </is>
      </c>
      <c r="C13" s="41" t="n">
        <v>3002</v>
      </c>
      <c r="D13" s="41" t="n">
        <v>2531</v>
      </c>
      <c r="E13" s="41" t="n">
        <v>1809</v>
      </c>
      <c r="L13" s="9" t="inlineStr">
        <is>
          <t>3,002 / 2,531 / 1,809 — down 40% over two years.</t>
        </is>
      </c>
    </row>
    <row r="14">
      <c r="B14" s="38" t="inlineStr">
        <is>
          <t>Active communities</t>
        </is>
      </c>
      <c r="D14" s="41" t="n">
        <v>220</v>
      </c>
      <c r="E14" s="41" t="n">
        <v>232</v>
      </c>
    </row>
    <row r="15" ht="6" customHeight="1"/>
    <row r="16" ht="15.5" customHeight="1">
      <c r="B16" s="3" t="inlineStr">
        <is>
          <t>SEGMENT REVENUE   [FY2025 10-K, Note 12 “Business Segments”]</t>
        </is>
      </c>
      <c r="C16" s="3" t="n"/>
      <c r="D16" s="3" t="n"/>
      <c r="E16" s="3" t="n"/>
      <c r="F16" s="3" t="n"/>
      <c r="G16" s="3" t="n"/>
      <c r="H16" s="3" t="n"/>
      <c r="I16" s="3" t="n"/>
      <c r="J16" s="3" t="n"/>
    </row>
    <row r="17">
      <c r="B17" s="38" t="inlineStr">
        <is>
          <t>Northern homebuilding</t>
        </is>
      </c>
      <c r="C17" s="41" t="n">
        <v>1523943</v>
      </c>
      <c r="D17" s="41" t="n">
        <v>1900013</v>
      </c>
      <c r="E17" s="41" t="n">
        <v>1890457</v>
      </c>
      <c r="L17" s="9" t="inlineStr">
        <is>
          <t>FY2025 10-K, Note 12 Business Segments (R84) - filed 2026-02-13, acc 0000799292-26-000006</t>
        </is>
      </c>
    </row>
    <row r="18">
      <c r="B18" s="38" t="inlineStr">
        <is>
          <t>Southern homebuilding</t>
        </is>
      </c>
      <c r="C18" s="41" t="n">
        <v>2415730</v>
      </c>
      <c r="D18" s="41" t="n">
        <v>2488451</v>
      </c>
      <c r="E18" s="41" t="n">
        <v>2401861</v>
      </c>
    </row>
    <row r="19">
      <c r="B19" s="38" t="inlineStr">
        <is>
          <t>Financial services</t>
        </is>
      </c>
      <c r="C19" s="41" t="n">
        <v>93829</v>
      </c>
      <c r="D19" s="41" t="n">
        <v>116206</v>
      </c>
      <c r="E19" s="41" t="n">
        <v>125463</v>
      </c>
    </row>
    <row r="20">
      <c r="B20" s="44" t="inlineStr">
        <is>
          <t>Total revenue</t>
        </is>
      </c>
      <c r="C20" s="45">
        <f>SUM(C17:C19)</f>
        <v/>
      </c>
      <c r="D20" s="45">
        <f>SUM(D17:D19)</f>
        <v/>
      </c>
      <c r="E20" s="45">
        <f>SUM(E17:E19)</f>
        <v/>
      </c>
      <c r="L20" s="9" t="inlineStr">
        <is>
          <t>Ties to $4,033.5m / $4,504.7m / $4,417.8m as reported.</t>
        </is>
      </c>
    </row>
    <row r="21" ht="6" customHeight="1"/>
    <row r="22" ht="15.5" customHeight="1">
      <c r="B22" s="3" t="inlineStr">
        <is>
          <t>SEGMENT LAND &amp; HOUSING COST</t>
        </is>
      </c>
      <c r="C22" s="3" t="n"/>
      <c r="D22" s="3" t="n"/>
      <c r="E22" s="3" t="n"/>
      <c r="F22" s="3" t="n"/>
      <c r="G22" s="3" t="n"/>
      <c r="H22" s="3" t="n"/>
      <c r="I22" s="3" t="n"/>
      <c r="J22" s="3" t="n"/>
    </row>
    <row r="23">
      <c r="B23" s="38" t="inlineStr">
        <is>
          <t>Northern</t>
        </is>
      </c>
      <c r="C23" s="41" t="n">
        <v>1228949</v>
      </c>
      <c r="D23" s="41" t="n">
        <v>1480326</v>
      </c>
      <c r="E23" s="41" t="n">
        <v>1475438</v>
      </c>
    </row>
    <row r="24">
      <c r="B24" s="38" t="inlineStr">
        <is>
          <t>Southern</t>
        </is>
      </c>
      <c r="C24" s="41" t="n">
        <v>1785624</v>
      </c>
      <c r="D24" s="41" t="n">
        <v>1825455</v>
      </c>
      <c r="E24" s="41" t="n">
        <v>1925144</v>
      </c>
    </row>
    <row r="25">
      <c r="B25" s="46" t="inlineStr">
        <is>
          <t xml:space="preserve">  of which: inventory write-offs — Northern</t>
        </is>
      </c>
      <c r="C25" s="41" t="n">
        <v>0</v>
      </c>
      <c r="D25" s="41" t="n">
        <v>0</v>
      </c>
      <c r="E25" s="41" t="n">
        <v>6700</v>
      </c>
      <c r="L25" s="9" t="inlineStr">
        <is>
          <t>2025 total valuation adjustments $47.7m.</t>
        </is>
      </c>
    </row>
    <row r="26">
      <c r="B26" s="46" t="inlineStr">
        <is>
          <t xml:space="preserve">  of which: inventory write-offs — Southern</t>
        </is>
      </c>
      <c r="C26" s="41" t="n">
        <v>0</v>
      </c>
      <c r="D26" s="41" t="n">
        <v>0</v>
      </c>
      <c r="E26" s="41" t="n">
        <v>41000</v>
      </c>
    </row>
    <row r="27" ht="6" customHeight="1"/>
    <row r="28" ht="15.5" customHeight="1">
      <c r="B28" s="3" t="inlineStr">
        <is>
          <t>SEGMENT OPERATING INCOME</t>
        </is>
      </c>
      <c r="C28" s="3" t="n"/>
      <c r="D28" s="3" t="n"/>
      <c r="E28" s="3" t="n"/>
      <c r="F28" s="3" t="n"/>
      <c r="G28" s="3" t="n"/>
      <c r="H28" s="3" t="n"/>
      <c r="I28" s="3" t="n"/>
      <c r="J28" s="3" t="n"/>
    </row>
    <row r="29">
      <c r="B29" s="38" t="inlineStr">
        <is>
          <t>Northern homebuilding</t>
        </is>
      </c>
      <c r="C29" s="41" t="n">
        <v>176320</v>
      </c>
      <c r="D29" s="41" t="n">
        <v>281099</v>
      </c>
      <c r="E29" s="41" t="n">
        <v>278056</v>
      </c>
    </row>
    <row r="30">
      <c r="B30" s="38" t="inlineStr">
        <is>
          <t>Southern homebuilding</t>
        </is>
      </c>
      <c r="C30" s="41" t="n">
        <v>440168</v>
      </c>
      <c r="D30" s="41" t="n">
        <v>450598</v>
      </c>
      <c r="E30" s="41" t="n">
        <v>249969</v>
      </c>
    </row>
    <row r="31">
      <c r="B31" s="38" t="inlineStr">
        <is>
          <t>Financial services</t>
        </is>
      </c>
      <c r="C31" s="41" t="n">
        <v>48714</v>
      </c>
      <c r="D31" s="41" t="n">
        <v>63380</v>
      </c>
      <c r="E31" s="41" t="n">
        <v>68160</v>
      </c>
    </row>
    <row r="32">
      <c r="B32" s="38" t="inlineStr">
        <is>
          <t>Corporate / unallocated</t>
        </is>
      </c>
      <c r="C32" s="13">
        <f>Historicals!C33-C29-C30-C31</f>
        <v/>
      </c>
      <c r="D32" s="13">
        <f>Historicals!D33-D29-D30-D31</f>
        <v/>
      </c>
      <c r="E32" s="13">
        <f>Historicals!E33-E29-E30-E31</f>
        <v/>
      </c>
    </row>
    <row r="33">
      <c r="B33" s="44" t="inlineStr">
        <is>
          <t>Total operating income</t>
        </is>
      </c>
      <c r="C33" s="47" t="n">
        <v>587222</v>
      </c>
      <c r="D33" s="47" t="n">
        <v>706094</v>
      </c>
      <c r="E33" s="47" t="n">
        <v>506553</v>
      </c>
    </row>
    <row r="34" ht="6" customHeight="1"/>
    <row r="35" ht="15.5" customHeight="1">
      <c r="B35" s="3" t="inlineStr">
        <is>
          <t>SEGMENT SELLING AND G&amp;A</t>
        </is>
      </c>
      <c r="C35" s="3" t="n"/>
      <c r="D35" s="3" t="n"/>
      <c r="E35" s="3" t="n"/>
      <c r="F35" s="3" t="n"/>
      <c r="G35" s="3" t="n"/>
      <c r="H35" s="3" t="n"/>
      <c r="I35" s="3" t="n"/>
      <c r="J35" s="3" t="n"/>
    </row>
    <row r="36">
      <c r="B36" s="38" t="inlineStr">
        <is>
          <t>Selling — Northern</t>
        </is>
      </c>
      <c r="C36" s="41" t="n">
        <v>81847</v>
      </c>
      <c r="D36" s="41" t="n">
        <v>95680</v>
      </c>
      <c r="E36" s="41" t="n">
        <v>95860</v>
      </c>
    </row>
    <row r="37">
      <c r="B37" s="38" t="inlineStr">
        <is>
          <t>Selling — Southern</t>
        </is>
      </c>
      <c r="C37" s="41" t="n">
        <v>124860</v>
      </c>
      <c r="D37" s="41" t="n">
        <v>136198</v>
      </c>
      <c r="E37" s="41" t="n">
        <v>149457</v>
      </c>
    </row>
    <row r="38">
      <c r="B38" s="38" t="inlineStr">
        <is>
          <t>G&amp;A — Northern</t>
        </is>
      </c>
      <c r="C38" s="41" t="n">
        <v>36827</v>
      </c>
      <c r="D38" s="41" t="n">
        <v>42908</v>
      </c>
      <c r="E38" s="41" t="n">
        <v>41103</v>
      </c>
    </row>
    <row r="39">
      <c r="B39" s="38" t="inlineStr">
        <is>
          <t>G&amp;A — Southern</t>
        </is>
      </c>
      <c r="C39" s="41" t="n">
        <v>65078</v>
      </c>
      <c r="D39" s="41" t="n">
        <v>76200</v>
      </c>
      <c r="E39" s="41" t="n">
        <v>77291</v>
      </c>
    </row>
    <row r="40">
      <c r="B40" s="38" t="inlineStr">
        <is>
          <t>G&amp;A — Financial services</t>
        </is>
      </c>
      <c r="C40" s="41" t="n">
        <v>45115</v>
      </c>
      <c r="D40" s="41" t="n">
        <v>52826</v>
      </c>
      <c r="E40" s="41" t="n">
        <v>57303</v>
      </c>
    </row>
    <row r="41" ht="6" customHeight="1"/>
    <row r="42" ht="15.5" customHeight="1">
      <c r="B42" s="3" t="inlineStr">
        <is>
          <t>CONSOLIDATED INCOME STATEMENT   [FY2025 10-K; XBRL companyfacts CIK 0000799292]</t>
        </is>
      </c>
      <c r="C42" s="3" t="n"/>
      <c r="D42" s="3" t="n"/>
      <c r="E42" s="3" t="n"/>
      <c r="F42" s="3" t="n"/>
      <c r="G42" s="3" t="n"/>
      <c r="H42" s="3" t="n"/>
      <c r="I42" s="3" t="n"/>
      <c r="J42" s="3" t="n"/>
    </row>
    <row r="43">
      <c r="B43" s="38" t="inlineStr">
        <is>
          <t>Land and housing costs</t>
        </is>
      </c>
      <c r="C43" s="41" t="n">
        <v>3014573</v>
      </c>
      <c r="D43" s="41" t="n">
        <v>3305781</v>
      </c>
      <c r="E43" s="41" t="n">
        <v>3400582</v>
      </c>
    </row>
    <row r="44">
      <c r="B44" s="38" t="inlineStr">
        <is>
          <t>Income before income taxes</t>
        </is>
      </c>
      <c r="C44" s="41" t="n">
        <v>607277</v>
      </c>
      <c r="D44" s="41" t="n">
        <v>733608</v>
      </c>
      <c r="E44" s="41" t="n">
        <v>526588</v>
      </c>
    </row>
    <row r="45">
      <c r="B45" s="38" t="inlineStr">
        <is>
          <t>Provision for income taxes</t>
        </is>
      </c>
      <c r="C45" s="41" t="n">
        <v>141912</v>
      </c>
      <c r="D45" s="41" t="n">
        <v>169883</v>
      </c>
      <c r="E45" s="41" t="n">
        <v>123647</v>
      </c>
    </row>
    <row r="46">
      <c r="B46" s="38" t="inlineStr">
        <is>
          <t>Net income</t>
        </is>
      </c>
      <c r="C46" s="41" t="n">
        <v>465365</v>
      </c>
      <c r="D46" s="41" t="n">
        <v>563725</v>
      </c>
      <c r="E46" s="41" t="n">
        <v>402941</v>
      </c>
    </row>
    <row r="47">
      <c r="B47" s="38" t="inlineStr">
        <is>
          <t>Diluted EPS ($)</t>
        </is>
      </c>
      <c r="C47" s="40" t="n">
        <v>16.21</v>
      </c>
      <c r="D47" s="40" t="n">
        <v>19.71</v>
      </c>
      <c r="E47" s="40" t="n">
        <v>14.74</v>
      </c>
    </row>
    <row r="48">
      <c r="B48" s="38" t="inlineStr">
        <is>
          <t>Diluted weighted-average shares (000)</t>
        </is>
      </c>
      <c r="C48" s="41" t="n">
        <v>28716</v>
      </c>
      <c r="D48" s="41" t="n">
        <v>28600</v>
      </c>
      <c r="E48" s="41" t="n">
        <v>27338</v>
      </c>
    </row>
    <row r="49">
      <c r="B49" s="38" t="inlineStr">
        <is>
          <t>Shares outstanding, year end (000)</t>
        </is>
      </c>
      <c r="C49" s="41" t="n">
        <v>27600</v>
      </c>
      <c r="D49" s="41" t="n">
        <v>27060</v>
      </c>
      <c r="E49" s="41" t="n">
        <v>25763</v>
      </c>
    </row>
    <row r="50" ht="6" customHeight="1"/>
    <row r="51" ht="15.5" customHeight="1">
      <c r="B51" s="3" t="inlineStr">
        <is>
          <t>CONSOLIDATED BALANCE SHEET / CASH FLOW</t>
        </is>
      </c>
      <c r="C51" s="3" t="n"/>
      <c r="D51" s="3" t="n"/>
      <c r="E51" s="3" t="n"/>
      <c r="F51" s="3" t="n"/>
      <c r="G51" s="3" t="n"/>
      <c r="H51" s="3" t="n"/>
      <c r="I51" s="3" t="n"/>
      <c r="J51" s="3" t="n"/>
    </row>
    <row r="52">
      <c r="B52" s="38" t="inlineStr">
        <is>
          <t>Cash and cash equivalents</t>
        </is>
      </c>
      <c r="C52" s="41" t="n">
        <v>733000</v>
      </c>
      <c r="D52" s="41" t="n">
        <v>821600</v>
      </c>
      <c r="E52" s="41" t="n">
        <v>689200</v>
      </c>
    </row>
    <row r="53">
      <c r="B53" s="38" t="inlineStr">
        <is>
          <t>Inventory</t>
        </is>
      </c>
      <c r="C53" s="41" t="n">
        <v>2797151</v>
      </c>
      <c r="D53" s="41" t="n">
        <v>3091862</v>
      </c>
      <c r="E53" s="41" t="n">
        <v>3383941</v>
      </c>
    </row>
    <row r="54">
      <c r="B54" s="38" t="inlineStr">
        <is>
          <t>Total assets</t>
        </is>
      </c>
      <c r="C54" s="41" t="n">
        <v>4022440</v>
      </c>
      <c r="D54" s="41" t="n">
        <v>4549796</v>
      </c>
      <c r="E54" s="41" t="n">
        <v>4777125</v>
      </c>
    </row>
    <row r="55">
      <c r="B55" s="38" t="inlineStr">
        <is>
          <t>Homebuilding debt</t>
        </is>
      </c>
      <c r="C55" s="41" t="n">
        <v>693744</v>
      </c>
      <c r="D55" s="41" t="n">
        <v>695022</v>
      </c>
      <c r="E55" s="41" t="n">
        <v>696300</v>
      </c>
    </row>
    <row r="56">
      <c r="B56" s="38" t="inlineStr">
        <is>
          <t>Financial services debt</t>
        </is>
      </c>
      <c r="C56" s="41" t="n">
        <v>165844</v>
      </c>
      <c r="D56" s="41" t="n">
        <v>286159</v>
      </c>
      <c r="E56" s="41" t="n">
        <v>276856</v>
      </c>
    </row>
    <row r="57">
      <c r="B57" s="38" t="inlineStr">
        <is>
          <t>Shareholders' equity</t>
        </is>
      </c>
      <c r="C57" s="41" t="n">
        <v>2516939</v>
      </c>
      <c r="D57" s="41" t="n">
        <v>2939677</v>
      </c>
      <c r="E57" s="41" t="n">
        <v>3166190</v>
      </c>
    </row>
    <row r="58">
      <c r="B58" s="38" t="inlineStr">
        <is>
          <t>Cash from operating activities</t>
        </is>
      </c>
      <c r="C58" s="41" t="n">
        <v>552131</v>
      </c>
      <c r="D58" s="41" t="n">
        <v>179736</v>
      </c>
      <c r="E58" s="41" t="n">
        <v>137349</v>
      </c>
    </row>
    <row r="59">
      <c r="B59" s="38" t="inlineStr">
        <is>
          <t>Depreciation &amp; amortisation</t>
        </is>
      </c>
      <c r="C59" s="41" t="n">
        <v>15791</v>
      </c>
      <c r="D59" s="41" t="n">
        <v>17386</v>
      </c>
      <c r="E59" s="41" t="n">
        <v>18898</v>
      </c>
    </row>
    <row r="60">
      <c r="B60" s="38" t="inlineStr">
        <is>
          <t>Stock-based compensation</t>
        </is>
      </c>
      <c r="C60" s="41" t="n">
        <v>11370</v>
      </c>
      <c r="D60" s="41" t="n">
        <v>14564</v>
      </c>
      <c r="E60" s="41" t="n">
        <v>16998</v>
      </c>
    </row>
    <row r="61">
      <c r="B61" s="38" t="inlineStr">
        <is>
          <t>Capital expenditure</t>
        </is>
      </c>
      <c r="C61" s="41" t="n">
        <v>5769</v>
      </c>
      <c r="D61" s="41" t="n">
        <v>8417</v>
      </c>
      <c r="E61" s="41" t="n">
        <v>9609</v>
      </c>
    </row>
    <row r="62">
      <c r="B62" s="38" t="inlineStr">
        <is>
          <t>Share repurchases</t>
        </is>
      </c>
      <c r="C62" s="41" t="n">
        <v>65344</v>
      </c>
      <c r="D62" s="41" t="n">
        <v>176953</v>
      </c>
      <c r="E62" s="41" t="n">
        <v>202033</v>
      </c>
    </row>
    <row r="63" ht="6" customHeight="1"/>
    <row r="64" ht="15.5" customHeight="1">
      <c r="B64" s="3" t="inlineStr">
        <is>
          <t>DERIVED DIAGNOSTICS  —  the analytical core of the note</t>
        </is>
      </c>
      <c r="C64" s="3" t="n"/>
      <c r="D64" s="3" t="n"/>
      <c r="E64" s="3" t="n"/>
      <c r="F64" s="3" t="n"/>
      <c r="G64" s="3" t="n"/>
      <c r="H64" s="3" t="n"/>
      <c r="I64" s="3" t="n"/>
      <c r="J64" s="3" t="n"/>
    </row>
    <row r="65">
      <c r="B65" s="38" t="inlineStr">
        <is>
          <t>Net ASP — Northern ($000)</t>
        </is>
      </c>
      <c r="C65" s="48">
        <f>C17/C8</f>
        <v/>
      </c>
      <c r="D65" s="48">
        <f>D17/D8</f>
        <v/>
      </c>
      <c r="E65" s="48">
        <f>E17/E8</f>
        <v/>
      </c>
      <c r="L65" s="9" t="inlineStr">
        <is>
          <t>Segment revenue per home delivered. Northern price is RISING.</t>
        </is>
      </c>
    </row>
    <row r="66">
      <c r="B66" s="38" t="inlineStr">
        <is>
          <t>Net ASP — Southern ($000)</t>
        </is>
      </c>
      <c r="C66" s="48">
        <f>C18/C9</f>
        <v/>
      </c>
      <c r="D66" s="48">
        <f>D18/D9</f>
        <v/>
      </c>
      <c r="E66" s="48">
        <f>E18/E9</f>
        <v/>
      </c>
      <c r="L66" s="9" t="inlineStr">
        <is>
          <t>Southern price is FALLING: $488.7k → $461.5k, −5.6% over two years.</t>
        </is>
      </c>
    </row>
    <row r="67">
      <c r="B67" s="38" t="inlineStr">
        <is>
          <t>Cost per home ex-charges — Northern ($000)</t>
        </is>
      </c>
      <c r="C67" s="48">
        <f>(C23-C25)/C8</f>
        <v/>
      </c>
      <c r="D67" s="48">
        <f>(D23-D25)/D8</f>
        <v/>
      </c>
      <c r="E67" s="48">
        <f>(E23-E25)/E8</f>
        <v/>
      </c>
    </row>
    <row r="68">
      <c r="B68" s="38" t="inlineStr">
        <is>
          <t>Cost per home ex-charges — Southern ($000)</t>
        </is>
      </c>
      <c r="C68" s="48">
        <f>(C24-C26)/C9</f>
        <v/>
      </c>
      <c r="D68" s="48">
        <f>(D24-D26)/D9</f>
        <v/>
      </c>
      <c r="E68" s="48">
        <f>(E24-E26)/E9</f>
        <v/>
      </c>
      <c r="L68" s="9" t="inlineStr">
        <is>
          <t>Up just 2.4% over two years. Cost is not the problem — price is.</t>
        </is>
      </c>
    </row>
    <row r="69">
      <c r="B69" s="38" t="inlineStr">
        <is>
          <t>Gross margin — Northern (%)</t>
        </is>
      </c>
      <c r="C69" s="16">
        <f>1-C23/C17</f>
        <v/>
      </c>
      <c r="D69" s="16">
        <f>1-D23/D17</f>
        <v/>
      </c>
      <c r="E69" s="16">
        <f>1-E23/E17</f>
        <v/>
      </c>
    </row>
    <row r="70">
      <c r="B70" s="38" t="inlineStr">
        <is>
          <t>Gross margin — Southern (%)</t>
        </is>
      </c>
      <c r="C70" s="16">
        <f>1-C24/C18</f>
        <v/>
      </c>
      <c r="D70" s="16">
        <f>1-D24/D18</f>
        <v/>
      </c>
      <c r="E70" s="16">
        <f>1-E24/E18</f>
        <v/>
      </c>
      <c r="L70" s="9" t="inlineStr">
        <is>
          <t>26.1% → 26.6% → 19.8%. A 680bp collapse in one year.</t>
        </is>
      </c>
    </row>
    <row r="71">
      <c r="B71" s="38" t="inlineStr">
        <is>
          <t>Gross margin — homebuilding only (%)</t>
        </is>
      </c>
      <c r="C71" s="16">
        <f>1-C43/(C17+C18)</f>
        <v/>
      </c>
      <c r="D71" s="16">
        <f>1-D43/(D17+D18)</f>
        <v/>
      </c>
      <c r="E71" s="16">
        <f>1-E43/(E17+E18)</f>
        <v/>
      </c>
    </row>
    <row r="72">
      <c r="B72" s="49" t="inlineStr">
        <is>
          <t>Gross margin — as reported (%)</t>
        </is>
      </c>
      <c r="C72" s="34">
        <f>1-C43/C20</f>
        <v/>
      </c>
      <c r="D72" s="34">
        <f>1-D43/D20</f>
        <v/>
      </c>
      <c r="E72" s="34">
        <f>1-E43/E20</f>
        <v/>
      </c>
      <c r="L72" s="9" t="inlineStr">
        <is>
          <t>NOTE: MHO reports gross margin on TOTAL revenue, which includes zero-cost financial services revenue. That flatters the headline by ~200bp. Use the homebuilding line above for like-for-like work.</t>
        </is>
      </c>
    </row>
    <row r="73">
      <c r="B73" s="38" t="inlineStr">
        <is>
          <t>Operating margin — Northern (%)</t>
        </is>
      </c>
      <c r="C73" s="16">
        <f>C29/C17</f>
        <v/>
      </c>
      <c r="D73" s="16">
        <f>D29/D17</f>
        <v/>
      </c>
      <c r="E73" s="16">
        <f>E29/E17</f>
        <v/>
      </c>
    </row>
    <row r="74">
      <c r="B74" s="49" t="inlineStr">
        <is>
          <t>Operating margin — Southern (%)</t>
        </is>
      </c>
      <c r="C74" s="34">
        <f>C30/C18</f>
        <v/>
      </c>
      <c r="D74" s="34">
        <f>D30/D18</f>
        <v/>
      </c>
      <c r="E74" s="34">
        <f>E30/E18</f>
        <v/>
      </c>
      <c r="L74" s="9" t="inlineStr">
        <is>
          <t>18.2% → 18.1% → 10.4%, while Northern went 11.6% → 14.8% → 14.7%.</t>
        </is>
      </c>
    </row>
    <row r="75">
      <c r="B75" s="38" t="inlineStr">
        <is>
          <t>Southern share of deliveries (%)</t>
        </is>
      </c>
      <c r="C75" s="16">
        <f>C9/C10</f>
        <v/>
      </c>
      <c r="D75" s="16">
        <f>D9/D10</f>
        <v/>
      </c>
      <c r="E75" s="16">
        <f>E9/E10</f>
        <v/>
      </c>
    </row>
    <row r="76">
      <c r="B76" s="49" t="inlineStr">
        <is>
          <t>Southern share of segment operating income (%)</t>
        </is>
      </c>
      <c r="C76" s="34">
        <f>C30/(C29+C30)</f>
        <v/>
      </c>
      <c r="D76" s="34">
        <f>D30/(D29+D30)</f>
        <v/>
      </c>
      <c r="E76" s="34">
        <f>E30/(E29+E30)</f>
        <v/>
      </c>
      <c r="L76" s="9" t="inlineStr">
        <is>
          <t>71% → 47%. The growth region stopped carrying the P&amp;L.</t>
        </is>
      </c>
    </row>
    <row r="77">
      <c r="B77" s="38" t="inlineStr">
        <is>
          <t>Return on equity (%)</t>
        </is>
      </c>
      <c r="C77" s="16">
        <f>C46/C57</f>
        <v/>
      </c>
      <c r="D77" s="16">
        <f>D46/D57</f>
        <v/>
      </c>
      <c r="E77" s="16">
        <f>E46/E57</f>
        <v/>
      </c>
      <c r="L77" s="9" t="inlineStr">
        <is>
          <t>18.5% → 19.2% → 12.7%.</t>
        </is>
      </c>
    </row>
    <row r="78">
      <c r="B78" s="38" t="inlineStr">
        <is>
          <t>Book value per share ($)</t>
        </is>
      </c>
      <c r="C78" s="50">
        <f>C57/C49</f>
        <v/>
      </c>
      <c r="D78" s="50">
        <f>D57/D49</f>
        <v/>
      </c>
      <c r="E78" s="50">
        <f>E57/E49</f>
        <v/>
      </c>
    </row>
  </sheetData>
  <pageMargins left="0.75" right="0.75" top="1" bottom="1" header="0.5" footer="0.5"/>
</worksheet>
</file>

<file path=xl/worksheets/sheet5.xml><?xml version="1.0" encoding="utf-8"?>
<worksheet xmlns="http://schemas.openxmlformats.org/spreadsheetml/2006/main">
  <sheetPr>
    <tabColor rgb="004A6B8A"/>
    <outlinePr summaryBelow="1" summaryRight="1"/>
    <pageSetUpPr/>
  </sheetPr>
  <dimension ref="B2:L43"/>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44" customWidth="1" min="2" max="2"/>
    <col width="12.6" customWidth="1" min="3" max="3"/>
    <col width="12.6" customWidth="1" min="4" max="4"/>
    <col width="12.6" customWidth="1" min="5" max="5"/>
    <col width="12.6" customWidth="1" min="6" max="6"/>
    <col width="12.6" customWidth="1" min="7" max="7"/>
    <col width="12.6" customWidth="1" min="8" max="8"/>
    <col width="12.6" customWidth="1" min="9" max="9"/>
    <col width="12.6" customWidth="1" min="10" max="10"/>
    <col width="2.2" customWidth="1" min="11" max="11"/>
    <col width="62" customWidth="1" min="12" max="12"/>
  </cols>
  <sheetData>
    <row r="2" ht="21" customHeight="1">
      <c r="B2" s="1" t="inlineStr">
        <is>
          <t>Segment Build — deliveries x ASP, and the incentive bridge to gross margin</t>
        </is>
      </c>
    </row>
    <row r="3">
      <c r="B3" s="2" t="inlineStr">
        <is>
          <t>Revenue is built region by region, never off a blended growth rate. Gross margin falls out of the arithmetic: incentives cut the price, costs do not move, so the margin is the residual.</t>
        </is>
      </c>
    </row>
    <row r="5" ht="18" customHeight="1">
      <c r="B5" s="36" t="inlineStr">
        <is>
          <t>($ in thousands unless noted)</t>
        </is>
      </c>
      <c r="C5" s="37" t="inlineStr">
        <is>
          <t>2023A</t>
        </is>
      </c>
      <c r="D5" s="37" t="inlineStr">
        <is>
          <t>2024A</t>
        </is>
      </c>
      <c r="E5" s="37" t="inlineStr">
        <is>
          <t>2025A</t>
        </is>
      </c>
      <c r="F5" s="37" t="inlineStr">
        <is>
          <t>2026E</t>
        </is>
      </c>
      <c r="G5" s="37" t="inlineStr">
        <is>
          <t>2027E</t>
        </is>
      </c>
      <c r="H5" s="37" t="inlineStr">
        <is>
          <t>2028E</t>
        </is>
      </c>
      <c r="I5" s="37" t="inlineStr">
        <is>
          <t>2029E</t>
        </is>
      </c>
      <c r="J5" s="37" t="inlineStr">
        <is>
          <t>2030E</t>
        </is>
      </c>
    </row>
    <row r="6" ht="6" customHeight="1"/>
    <row r="7" ht="15.5" customHeight="1">
      <c r="B7" s="3" t="inlineStr">
        <is>
          <t>NORTHERN HOMEBUILDING   —   Columbus, Cincinnati, Indianapolis, Chicago, Minneapolis, Detroit</t>
        </is>
      </c>
      <c r="C7" s="3" t="n"/>
      <c r="D7" s="3" t="n"/>
      <c r="E7" s="3" t="n"/>
      <c r="F7" s="3" t="n"/>
      <c r="G7" s="3" t="n"/>
      <c r="H7" s="3" t="n"/>
      <c r="I7" s="3" t="n"/>
      <c r="J7" s="3" t="n"/>
    </row>
    <row r="8">
      <c r="B8" s="38" t="inlineStr">
        <is>
          <t>Homes delivered</t>
        </is>
      </c>
      <c r="C8" s="51">
        <f>Historicals!C8</f>
        <v/>
      </c>
      <c r="D8" s="51">
        <f>Historicals!D8</f>
        <v/>
      </c>
      <c r="E8" s="51">
        <f>Historicals!E8</f>
        <v/>
      </c>
      <c r="F8" s="13">
        <f>E8*(1+Assumptions!F20/100)</f>
        <v/>
      </c>
      <c r="G8" s="13">
        <f>F8*(1+Assumptions!G20/100)</f>
        <v/>
      </c>
      <c r="H8" s="13">
        <f>G8*(1+Assumptions!H20/100)</f>
        <v/>
      </c>
      <c r="I8" s="13">
        <f>H8*(1+Assumptions!I20/100)</f>
        <v/>
      </c>
      <c r="J8" s="13">
        <f>I8*(1+Assumptions!J20/100)</f>
        <v/>
      </c>
    </row>
    <row r="9">
      <c r="B9" s="38" t="inlineStr">
        <is>
          <t>Gross ASP — list price before incentives ($000)</t>
        </is>
      </c>
      <c r="C9" s="48">
        <f>C11/(1-C10/100)</f>
        <v/>
      </c>
      <c r="D9" s="48">
        <f>D11/(1-D10/100)</f>
        <v/>
      </c>
      <c r="E9" s="48">
        <f>E11/(1-E10/100)</f>
        <v/>
      </c>
      <c r="F9" s="48">
        <f>E9*(1+Assumptions!F22/100)</f>
        <v/>
      </c>
      <c r="G9" s="48">
        <f>F9*(1+Assumptions!G22/100)</f>
        <v/>
      </c>
      <c r="H9" s="48">
        <f>G9*(1+Assumptions!H22/100)</f>
        <v/>
      </c>
      <c r="I9" s="48">
        <f>H9*(1+Assumptions!I22/100)</f>
        <v/>
      </c>
      <c r="J9" s="48">
        <f>I9*(1+Assumptions!J22/100)</f>
        <v/>
      </c>
    </row>
    <row r="10">
      <c r="B10" s="38" t="inlineStr">
        <is>
          <t>Incentive load (% of gross ASP)</t>
        </is>
      </c>
      <c r="C10" s="52">
        <f>Assumptions!$C$12+Assumptions!$C$13*MAX(0,Assumptions!C8-Assumptions!$C$9)+Assumptions!C14</f>
        <v/>
      </c>
      <c r="D10" s="52">
        <f>Assumptions!$C$12+Assumptions!$C$13*MAX(0,Assumptions!D8-Assumptions!$C$9)+Assumptions!D14</f>
        <v/>
      </c>
      <c r="E10" s="52">
        <f>Assumptions!$C$12+Assumptions!$C$13*MAX(0,Assumptions!E8-Assumptions!$C$9)+Assumptions!E14</f>
        <v/>
      </c>
      <c r="F10" s="52">
        <f>Assumptions!$C$12+Assumptions!$C$13*MAX(0,Assumptions!F8-Assumptions!$C$9)+Assumptions!F14</f>
        <v/>
      </c>
      <c r="G10" s="52">
        <f>Assumptions!$C$12+Assumptions!$C$13*MAX(0,Assumptions!G8-Assumptions!$C$9)+Assumptions!G14</f>
        <v/>
      </c>
      <c r="H10" s="52">
        <f>Assumptions!$C$12+Assumptions!$C$13*MAX(0,Assumptions!H8-Assumptions!$C$9)+Assumptions!H14</f>
        <v/>
      </c>
      <c r="I10" s="52">
        <f>Assumptions!$C$12+Assumptions!$C$13*MAX(0,Assumptions!I8-Assumptions!$C$9)+Assumptions!I14</f>
        <v/>
      </c>
      <c r="J10" s="52">
        <f>Assumptions!$C$12+Assumptions!$C$13*MAX(0,Assumptions!J8-Assumptions!$C$9)+Assumptions!J14</f>
        <v/>
      </c>
      <c r="L10" s="9" t="inlineStr">
        <is>
          <t>Rate-driven only through 2025.</t>
        </is>
      </c>
    </row>
    <row r="11">
      <c r="B11" s="49" t="inlineStr">
        <is>
          <t>Net ASP — realised ($000)</t>
        </is>
      </c>
      <c r="C11" s="53">
        <f>Historicals!C17/C8</f>
        <v/>
      </c>
      <c r="D11" s="53">
        <f>Historicals!D17/D8</f>
        <v/>
      </c>
      <c r="E11" s="53">
        <f>Historicals!E17/E8</f>
        <v/>
      </c>
      <c r="F11" s="54">
        <f>F9*(1-F10/100)</f>
        <v/>
      </c>
      <c r="G11" s="54">
        <f>G9*(1-G10/100)</f>
        <v/>
      </c>
      <c r="H11" s="54">
        <f>H9*(1-H10/100)</f>
        <v/>
      </c>
      <c r="I11" s="54">
        <f>I9*(1-I10/100)</f>
        <v/>
      </c>
      <c r="J11" s="54">
        <f>J9*(1-J10/100)</f>
        <v/>
      </c>
    </row>
    <row r="12">
      <c r="B12" s="38" t="inlineStr">
        <is>
          <t>Cost per home, ex-charges ($000)</t>
        </is>
      </c>
      <c r="C12" s="55">
        <f>(Historicals!C23-Historicals!C25)/C8</f>
        <v/>
      </c>
      <c r="D12" s="55">
        <f>(Historicals!D23-Historicals!D25)/D8</f>
        <v/>
      </c>
      <c r="E12" s="55">
        <f>(Historicals!E23-Historicals!E25)/E8</f>
        <v/>
      </c>
      <c r="F12" s="48">
        <f>E12*(1+Assumptions!F24/100)</f>
        <v/>
      </c>
      <c r="G12" s="48">
        <f>F12*(1+Assumptions!G24/100)</f>
        <v/>
      </c>
      <c r="H12" s="48">
        <f>G12*(1+Assumptions!H24/100)</f>
        <v/>
      </c>
      <c r="I12" s="48">
        <f>H12*(1+Assumptions!I24/100)</f>
        <v/>
      </c>
      <c r="J12" s="48">
        <f>I12*(1+Assumptions!J24/100)</f>
        <v/>
      </c>
    </row>
    <row r="13">
      <c r="B13" s="38" t="inlineStr">
        <is>
          <t>Gross profit per home ($000)</t>
        </is>
      </c>
      <c r="C13" s="48">
        <f>C11-C12</f>
        <v/>
      </c>
      <c r="D13" s="48">
        <f>D11-D12</f>
        <v/>
      </c>
      <c r="E13" s="48">
        <f>E11-E12</f>
        <v/>
      </c>
      <c r="F13" s="48">
        <f>F11-F12</f>
        <v/>
      </c>
      <c r="G13" s="48">
        <f>G11-G12</f>
        <v/>
      </c>
      <c r="H13" s="48">
        <f>H11-H12</f>
        <v/>
      </c>
      <c r="I13" s="48">
        <f>I11-I12</f>
        <v/>
      </c>
      <c r="J13" s="48">
        <f>J11-J12</f>
        <v/>
      </c>
    </row>
    <row r="14">
      <c r="B14" s="49" t="inlineStr">
        <is>
          <t>Gross margin, ex-charges (%)</t>
        </is>
      </c>
      <c r="C14" s="34">
        <f>1-C12/C11</f>
        <v/>
      </c>
      <c r="D14" s="34">
        <f>1-D12/D11</f>
        <v/>
      </c>
      <c r="E14" s="34">
        <f>1-E12/E11</f>
        <v/>
      </c>
      <c r="F14" s="34">
        <f>1-F12/F11</f>
        <v/>
      </c>
      <c r="G14" s="34">
        <f>1-G12/G11</f>
        <v/>
      </c>
      <c r="H14" s="34">
        <f>1-H12/H11</f>
        <v/>
      </c>
      <c r="I14" s="34">
        <f>1-I12/I11</f>
        <v/>
      </c>
      <c r="J14" s="34">
        <f>1-J12/J11</f>
        <v/>
      </c>
    </row>
    <row r="15">
      <c r="B15" s="44" t="inlineStr">
        <is>
          <t>Housing revenue</t>
        </is>
      </c>
      <c r="C15" s="45">
        <f>C8*C11</f>
        <v/>
      </c>
      <c r="D15" s="45">
        <f>D8*D11</f>
        <v/>
      </c>
      <c r="E15" s="45">
        <f>E8*E11</f>
        <v/>
      </c>
      <c r="F15" s="45">
        <f>F8*F11</f>
        <v/>
      </c>
      <c r="G15" s="45">
        <f>G8*G11</f>
        <v/>
      </c>
      <c r="H15" s="45">
        <f>H8*H11</f>
        <v/>
      </c>
      <c r="I15" s="45">
        <f>I8*I11</f>
        <v/>
      </c>
      <c r="J15" s="45">
        <f>J8*J11</f>
        <v/>
      </c>
    </row>
    <row r="16" ht="6" customHeight="1"/>
    <row r="17" ht="15.5" customHeight="1">
      <c r="B17" s="3" t="inlineStr">
        <is>
          <t>SOUTHERN HOMEBUILDING   —   Tampa, Orlando, Sarasota, Fort Myers, CHARLOTTE, RALEIGH, Houston, San Antonio, Austin, Dallas, Nashville</t>
        </is>
      </c>
      <c r="C17" s="3" t="n"/>
      <c r="D17" s="3" t="n"/>
      <c r="E17" s="3" t="n"/>
      <c r="F17" s="3" t="n"/>
      <c r="G17" s="3" t="n"/>
      <c r="H17" s="3" t="n"/>
      <c r="I17" s="3" t="n"/>
      <c r="J17" s="3" t="n"/>
    </row>
    <row r="18">
      <c r="B18" s="38" t="inlineStr">
        <is>
          <t>Homes delivered</t>
        </is>
      </c>
      <c r="C18" s="51">
        <f>Historicals!C9</f>
        <v/>
      </c>
      <c r="D18" s="51">
        <f>Historicals!D9</f>
        <v/>
      </c>
      <c r="E18" s="51">
        <f>Historicals!E9</f>
        <v/>
      </c>
      <c r="F18" s="13">
        <f>E18*(1+Assumptions!F21/100)</f>
        <v/>
      </c>
      <c r="G18" s="13">
        <f>F18*(1+Assumptions!G21/100)</f>
        <v/>
      </c>
      <c r="H18" s="13">
        <f>G18*(1+Assumptions!H21/100)</f>
        <v/>
      </c>
      <c r="I18" s="13">
        <f>H18*(1+Assumptions!I21/100)</f>
        <v/>
      </c>
      <c r="J18" s="13">
        <f>I18*(1+Assumptions!J21/100)</f>
        <v/>
      </c>
    </row>
    <row r="19">
      <c r="B19" s="38" t="inlineStr">
        <is>
          <t>Gross ASP — list price before incentives ($000)</t>
        </is>
      </c>
      <c r="C19" s="48">
        <f>C21/(1-C20/100)</f>
        <v/>
      </c>
      <c r="D19" s="48">
        <f>D21/(1-D20/100)</f>
        <v/>
      </c>
      <c r="E19" s="48">
        <f>E21/(1-E20/100)</f>
        <v/>
      </c>
      <c r="F19" s="48">
        <f>E19*(1+Assumptions!F23/100)</f>
        <v/>
      </c>
      <c r="G19" s="48">
        <f>F19*(1+Assumptions!G23/100)</f>
        <v/>
      </c>
      <c r="H19" s="48">
        <f>G19*(1+Assumptions!H23/100)</f>
        <v/>
      </c>
      <c r="I19" s="48">
        <f>H19*(1+Assumptions!I23/100)</f>
        <v/>
      </c>
      <c r="J19" s="48">
        <f>I19*(1+Assumptions!J23/100)</f>
        <v/>
      </c>
    </row>
    <row r="20">
      <c r="B20" s="38" t="inlineStr">
        <is>
          <t>Incentive load (% of gross ASP)</t>
        </is>
      </c>
      <c r="C20" s="52">
        <f>Assumptions!$C$15+Assumptions!$C$16*MAX(0,Assumptions!C8-Assumptions!$C$9)+Assumptions!C17</f>
        <v/>
      </c>
      <c r="D20" s="52">
        <f>Assumptions!$C$15+Assumptions!$C$16*MAX(0,Assumptions!D8-Assumptions!$C$9)+Assumptions!D17</f>
        <v/>
      </c>
      <c r="E20" s="52">
        <f>Assumptions!$C$15+Assumptions!$C$16*MAX(0,Assumptions!E8-Assumptions!$C$9)+Assumptions!E17</f>
        <v/>
      </c>
      <c r="F20" s="52">
        <f>Assumptions!$C$15+Assumptions!$C$16*MAX(0,Assumptions!F8-Assumptions!$C$9)+Assumptions!F17</f>
        <v/>
      </c>
      <c r="G20" s="52">
        <f>Assumptions!$C$15+Assumptions!$C$16*MAX(0,Assumptions!G8-Assumptions!$C$9)+Assumptions!G17</f>
        <v/>
      </c>
      <c r="H20" s="52">
        <f>Assumptions!$C$15+Assumptions!$C$16*MAX(0,Assumptions!H8-Assumptions!$C$9)+Assumptions!H17</f>
        <v/>
      </c>
      <c r="I20" s="52">
        <f>Assumptions!$C$15+Assumptions!$C$16*MAX(0,Assumptions!I8-Assumptions!$C$9)+Assumptions!I17</f>
        <v/>
      </c>
      <c r="J20" s="52">
        <f>Assumptions!$C$15+Assumptions!$C$16*MAX(0,Assumptions!J8-Assumptions!$C$9)+Assumptions!J17</f>
        <v/>
      </c>
      <c r="L20" s="9" t="inlineStr">
        <is>
          <t>Base + rate slope + competition premium. In 2025 the rate term contributed 4.5pp and competition 3.6pp.</t>
        </is>
      </c>
    </row>
    <row r="21">
      <c r="B21" s="49" t="inlineStr">
        <is>
          <t>Net ASP — realised ($000)</t>
        </is>
      </c>
      <c r="C21" s="53">
        <f>Historicals!C18/C18</f>
        <v/>
      </c>
      <c r="D21" s="53">
        <f>Historicals!D18/D18</f>
        <v/>
      </c>
      <c r="E21" s="53">
        <f>Historicals!E18/E18</f>
        <v/>
      </c>
      <c r="F21" s="54">
        <f>F19*(1-F20/100)</f>
        <v/>
      </c>
      <c r="G21" s="54">
        <f>G19*(1-G20/100)</f>
        <v/>
      </c>
      <c r="H21" s="54">
        <f>H19*(1-H20/100)</f>
        <v/>
      </c>
      <c r="I21" s="54">
        <f>I19*(1-I20/100)</f>
        <v/>
      </c>
      <c r="J21" s="54">
        <f>J19*(1-J20/100)</f>
        <v/>
      </c>
    </row>
    <row r="22">
      <c r="B22" s="38" t="inlineStr">
        <is>
          <t>Cost per home, ex-charges ($000)</t>
        </is>
      </c>
      <c r="C22" s="55">
        <f>(Historicals!C24-Historicals!C26)/C18</f>
        <v/>
      </c>
      <c r="D22" s="55">
        <f>(Historicals!D24-Historicals!D26)/D18</f>
        <v/>
      </c>
      <c r="E22" s="55">
        <f>(Historicals!E24-Historicals!E26)/E18</f>
        <v/>
      </c>
      <c r="F22" s="48">
        <f>E22*(1+Assumptions!F25/100)</f>
        <v/>
      </c>
      <c r="G22" s="48">
        <f>F22*(1+Assumptions!G25/100)</f>
        <v/>
      </c>
      <c r="H22" s="48">
        <f>G22*(1+Assumptions!H25/100)</f>
        <v/>
      </c>
      <c r="I22" s="48">
        <f>H22*(1+Assumptions!I25/100)</f>
        <v/>
      </c>
      <c r="J22" s="48">
        <f>I22*(1+Assumptions!J25/100)</f>
        <v/>
      </c>
    </row>
    <row r="23">
      <c r="B23" s="38" t="inlineStr">
        <is>
          <t>Gross profit per home ($000)</t>
        </is>
      </c>
      <c r="C23" s="48">
        <f>C21-C22</f>
        <v/>
      </c>
      <c r="D23" s="48">
        <f>D21-D22</f>
        <v/>
      </c>
      <c r="E23" s="48">
        <f>E21-E22</f>
        <v/>
      </c>
      <c r="F23" s="48">
        <f>F21-F22</f>
        <v/>
      </c>
      <c r="G23" s="48">
        <f>G21-G22</f>
        <v/>
      </c>
      <c r="H23" s="48">
        <f>H21-H22</f>
        <v/>
      </c>
      <c r="I23" s="48">
        <f>I21-I22</f>
        <v/>
      </c>
      <c r="J23" s="48">
        <f>J21-J22</f>
        <v/>
      </c>
    </row>
    <row r="24">
      <c r="B24" s="49" t="inlineStr">
        <is>
          <t>Gross margin, ex-charges (%)</t>
        </is>
      </c>
      <c r="C24" s="34">
        <f>1-C22/C21</f>
        <v/>
      </c>
      <c r="D24" s="34">
        <f>1-D22/D21</f>
        <v/>
      </c>
      <c r="E24" s="34">
        <f>1-E22/E21</f>
        <v/>
      </c>
      <c r="F24" s="34">
        <f>1-F22/F21</f>
        <v/>
      </c>
      <c r="G24" s="34">
        <f>1-G22/G21</f>
        <v/>
      </c>
      <c r="H24" s="34">
        <f>1-H22/H21</f>
        <v/>
      </c>
      <c r="I24" s="34">
        <f>1-I22/I21</f>
        <v/>
      </c>
      <c r="J24" s="34">
        <f>1-J22/J21</f>
        <v/>
      </c>
    </row>
    <row r="25">
      <c r="B25" s="44" t="inlineStr">
        <is>
          <t>Housing revenue</t>
        </is>
      </c>
      <c r="C25" s="45">
        <f>C18*C21</f>
        <v/>
      </c>
      <c r="D25" s="45">
        <f>D18*D21</f>
        <v/>
      </c>
      <c r="E25" s="45">
        <f>E18*E21</f>
        <v/>
      </c>
      <c r="F25" s="45">
        <f>F18*F21</f>
        <v/>
      </c>
      <c r="G25" s="45">
        <f>G18*G21</f>
        <v/>
      </c>
      <c r="H25" s="45">
        <f>H18*H21</f>
        <v/>
      </c>
      <c r="I25" s="45">
        <f>I18*I21</f>
        <v/>
      </c>
      <c r="J25" s="45">
        <f>J18*J21</f>
        <v/>
      </c>
    </row>
    <row r="26" ht="6" customHeight="1"/>
    <row r="27" ht="15.5" customHeight="1">
      <c r="B27" s="3" t="inlineStr">
        <is>
          <t>LAND SALES AND FINANCIAL SERVICES</t>
        </is>
      </c>
      <c r="C27" s="3" t="n"/>
      <c r="D27" s="3" t="n"/>
      <c r="E27" s="3" t="n"/>
      <c r="F27" s="3" t="n"/>
      <c r="G27" s="3" t="n"/>
      <c r="H27" s="3" t="n"/>
      <c r="I27" s="3" t="n"/>
      <c r="J27" s="3" t="n"/>
    </row>
    <row r="28">
      <c r="B28" s="38" t="inlineStr">
        <is>
          <t>Land sale revenue</t>
        </is>
      </c>
      <c r="C28" s="13">
        <f>Historicals!C17+Historicals!C18-C15-C25</f>
        <v/>
      </c>
      <c r="D28" s="13">
        <f>Historicals!D17+Historicals!D18-D15-D25</f>
        <v/>
      </c>
      <c r="E28" s="13">
        <f>Historicals!E17+Historicals!E18-E15-E25</f>
        <v/>
      </c>
      <c r="F28" s="51">
        <f>Assumptions!F28</f>
        <v/>
      </c>
      <c r="G28" s="51">
        <f>Assumptions!G28</f>
        <v/>
      </c>
      <c r="H28" s="51">
        <f>Assumptions!H28</f>
        <v/>
      </c>
      <c r="I28" s="51">
        <f>Assumptions!I28</f>
        <v/>
      </c>
      <c r="J28" s="51">
        <f>Assumptions!J28</f>
        <v/>
      </c>
    </row>
    <row r="29">
      <c r="B29" s="38" t="inlineStr">
        <is>
          <t>Financial services revenue</t>
        </is>
      </c>
      <c r="C29" s="13">
        <f>Historicals!C19</f>
        <v/>
      </c>
      <c r="D29" s="13">
        <f>Historicals!D19</f>
        <v/>
      </c>
      <c r="E29" s="13">
        <f>Historicals!E19</f>
        <v/>
      </c>
      <c r="F29" s="13">
        <f>E29*(1+Assumptions!F29/100)</f>
        <v/>
      </c>
      <c r="G29" s="13">
        <f>F29*(1+Assumptions!G29/100)</f>
        <v/>
      </c>
      <c r="H29" s="13">
        <f>G29*(1+Assumptions!H29/100)</f>
        <v/>
      </c>
      <c r="I29" s="13">
        <f>H29*(1+Assumptions!I29/100)</f>
        <v/>
      </c>
      <c r="J29" s="13">
        <f>I29*(1+Assumptions!J29/100)</f>
        <v/>
      </c>
    </row>
    <row r="30" ht="6" customHeight="1"/>
    <row r="31" ht="15.5" customHeight="1">
      <c r="B31" s="3" t="inlineStr">
        <is>
          <t>BUILD-UP TO CONSOLIDATED REVENUE AND COST</t>
        </is>
      </c>
      <c r="C31" s="3" t="n"/>
      <c r="D31" s="3" t="n"/>
      <c r="E31" s="3" t="n"/>
      <c r="F31" s="3" t="n"/>
      <c r="G31" s="3" t="n"/>
      <c r="H31" s="3" t="n"/>
      <c r="I31" s="3" t="n"/>
      <c r="J31" s="3" t="n"/>
    </row>
    <row r="32">
      <c r="B32" s="38" t="inlineStr">
        <is>
          <t>Northern segment revenue</t>
        </is>
      </c>
      <c r="C32" s="13">
        <f>Historicals!C17</f>
        <v/>
      </c>
      <c r="D32" s="13">
        <f>Historicals!D17</f>
        <v/>
      </c>
      <c r="E32" s="13">
        <f>Historicals!E17</f>
        <v/>
      </c>
      <c r="F32" s="13">
        <f>F15+F28*(1-Assumptions!$C$36/100)</f>
        <v/>
      </c>
      <c r="G32" s="13">
        <f>G15+G28*(1-Assumptions!$C$36/100)</f>
        <v/>
      </c>
      <c r="H32" s="13">
        <f>H15+H28*(1-Assumptions!$C$36/100)</f>
        <v/>
      </c>
      <c r="I32" s="13">
        <f>I15+I28*(1-Assumptions!$C$36/100)</f>
        <v/>
      </c>
      <c r="J32" s="13">
        <f>J15+J28*(1-Assumptions!$C$36/100)</f>
        <v/>
      </c>
    </row>
    <row r="33">
      <c r="B33" s="38" t="inlineStr">
        <is>
          <t>Southern segment revenue</t>
        </is>
      </c>
      <c r="C33" s="13">
        <f>Historicals!C18</f>
        <v/>
      </c>
      <c r="D33" s="13">
        <f>Historicals!D18</f>
        <v/>
      </c>
      <c r="E33" s="13">
        <f>Historicals!E18</f>
        <v/>
      </c>
      <c r="F33" s="13">
        <f>F25+F28*Assumptions!$C$36/100</f>
        <v/>
      </c>
      <c r="G33" s="13">
        <f>G25+G28*Assumptions!$C$36/100</f>
        <v/>
      </c>
      <c r="H33" s="13">
        <f>H25+H28*Assumptions!$C$36/100</f>
        <v/>
      </c>
      <c r="I33" s="13">
        <f>I25+I28*Assumptions!$C$36/100</f>
        <v/>
      </c>
      <c r="J33" s="13">
        <f>J25+J28*Assumptions!$C$36/100</f>
        <v/>
      </c>
    </row>
    <row r="34">
      <c r="B34" s="44" t="inlineStr">
        <is>
          <t>Total homebuilding revenue</t>
        </is>
      </c>
      <c r="C34" s="45">
        <f>C32+C33</f>
        <v/>
      </c>
      <c r="D34" s="45">
        <f>D32+D33</f>
        <v/>
      </c>
      <c r="E34" s="45">
        <f>E32+E33</f>
        <v/>
      </c>
      <c r="F34" s="45">
        <f>F32+F33</f>
        <v/>
      </c>
      <c r="G34" s="45">
        <f>G32+G33</f>
        <v/>
      </c>
      <c r="H34" s="45">
        <f>H32+H33</f>
        <v/>
      </c>
      <c r="I34" s="45">
        <f>I32+I33</f>
        <v/>
      </c>
      <c r="J34" s="45">
        <f>J32+J33</f>
        <v/>
      </c>
    </row>
    <row r="35">
      <c r="B35" s="44" t="inlineStr">
        <is>
          <t>Total revenue</t>
        </is>
      </c>
      <c r="C35" s="45">
        <f>C34+C29</f>
        <v/>
      </c>
      <c r="D35" s="45">
        <f>D34+D29</f>
        <v/>
      </c>
      <c r="E35" s="45">
        <f>E34+E29</f>
        <v/>
      </c>
      <c r="F35" s="45">
        <f>F34+F29</f>
        <v/>
      </c>
      <c r="G35" s="45">
        <f>G34+G29</f>
        <v/>
      </c>
      <c r="H35" s="45">
        <f>H34+H29</f>
        <v/>
      </c>
      <c r="I35" s="45">
        <f>I34+I29</f>
        <v/>
      </c>
      <c r="J35" s="45">
        <f>J34+J29</f>
        <v/>
      </c>
    </row>
    <row r="36" ht="6" customHeight="1"/>
    <row r="37">
      <c r="B37" s="38" t="inlineStr">
        <is>
          <t>Land and housing costs</t>
        </is>
      </c>
      <c r="C37" s="13">
        <f>Historicals!C43</f>
        <v/>
      </c>
      <c r="D37" s="13">
        <f>Historicals!D43</f>
        <v/>
      </c>
      <c r="E37" s="13">
        <f>Historicals!E43</f>
        <v/>
      </c>
      <c r="F37" s="13">
        <f>F8*F12+F18*F22+F28*(1-Assumptions!$C$35/100)+Assumptions!F33</f>
        <v/>
      </c>
      <c r="G37" s="13">
        <f>G8*G12+G18*G22+G28*(1-Assumptions!$C$35/100)+Assumptions!G33</f>
        <v/>
      </c>
      <c r="H37" s="13">
        <f>H8*H12+H18*H22+H28*(1-Assumptions!$C$35/100)+Assumptions!H33</f>
        <v/>
      </c>
      <c r="I37" s="13">
        <f>I8*I12+I18*I22+I28*(1-Assumptions!$C$35/100)+Assumptions!I33</f>
        <v/>
      </c>
      <c r="J37" s="13">
        <f>J8*J12+J18*J22+J28*(1-Assumptions!$C$35/100)+Assumptions!J33</f>
        <v/>
      </c>
    </row>
    <row r="38">
      <c r="B38" s="49" t="inlineStr">
        <is>
          <t>Gross margin — homebuilding (%)</t>
        </is>
      </c>
      <c r="C38" s="34">
        <f>1-C37/C34</f>
        <v/>
      </c>
      <c r="D38" s="34">
        <f>1-D37/D34</f>
        <v/>
      </c>
      <c r="E38" s="34">
        <f>1-E37/E34</f>
        <v/>
      </c>
      <c r="F38" s="34">
        <f>1-F37/F34</f>
        <v/>
      </c>
      <c r="G38" s="34">
        <f>1-G37/G34</f>
        <v/>
      </c>
      <c r="H38" s="34">
        <f>1-H37/H34</f>
        <v/>
      </c>
      <c r="I38" s="34">
        <f>1-I37/I34</f>
        <v/>
      </c>
      <c r="J38" s="34">
        <f>1-J37/J34</f>
        <v/>
      </c>
    </row>
    <row r="39">
      <c r="B39" s="49" t="inlineStr">
        <is>
          <t>Gross margin — as reported by MHO (%)</t>
        </is>
      </c>
      <c r="C39" s="34">
        <f>1-C37/C35</f>
        <v/>
      </c>
      <c r="D39" s="34">
        <f>1-D37/D35</f>
        <v/>
      </c>
      <c r="E39" s="34">
        <f>1-E37/E35</f>
        <v/>
      </c>
      <c r="F39" s="34">
        <f>1-F37/F35</f>
        <v/>
      </c>
      <c r="G39" s="34">
        <f>1-G37/G35</f>
        <v/>
      </c>
      <c r="H39" s="34">
        <f>1-H37/H35</f>
        <v/>
      </c>
      <c r="I39" s="34">
        <f>1-I37/I35</f>
        <v/>
      </c>
      <c r="J39" s="34">
        <f>1-J37/J35</f>
        <v/>
      </c>
      <c r="L39" s="9" t="inlineStr">
        <is>
          <t>Company convention includes financial services revenue in the denominator.</t>
        </is>
      </c>
    </row>
    <row r="40" ht="6" customHeight="1"/>
    <row r="41" ht="15.5" customHeight="1">
      <c r="B41" s="3" t="inlineStr">
        <is>
          <t>CHECKS  —  must tie to filed figures for 2023–2025</t>
        </is>
      </c>
      <c r="C41" s="3" t="n"/>
      <c r="D41" s="3" t="n"/>
      <c r="E41" s="3" t="n"/>
      <c r="F41" s="3" t="n"/>
      <c r="G41" s="3" t="n"/>
      <c r="H41" s="3" t="n"/>
      <c r="I41" s="3" t="n"/>
      <c r="J41" s="3" t="n"/>
    </row>
    <row r="42">
      <c r="B42" s="38" t="inlineStr">
        <is>
          <t>Total revenue vs 10-K</t>
        </is>
      </c>
      <c r="C42" s="48">
        <f>C35-Historicals!C20</f>
        <v/>
      </c>
      <c r="D42" s="48">
        <f>D35-Historicals!D20</f>
        <v/>
      </c>
      <c r="E42" s="48">
        <f>E35-Historicals!E20</f>
        <v/>
      </c>
    </row>
    <row r="43">
      <c r="B43" s="38" t="inlineStr">
        <is>
          <t>Deliveries vs press release</t>
        </is>
      </c>
      <c r="C43" s="48">
        <f>C8+C18-Historicals!C10</f>
        <v/>
      </c>
      <c r="D43" s="48">
        <f>D8+D18-Historicals!D10</f>
        <v/>
      </c>
      <c r="E43" s="48">
        <f>E8+E18-Historicals!E10</f>
        <v/>
      </c>
    </row>
  </sheetData>
  <pageMargins left="0.75" right="0.75" top="1" bottom="1" header="0.5" footer="0.5"/>
</worksheet>
</file>

<file path=xl/worksheets/sheet6.xml><?xml version="1.0" encoding="utf-8"?>
<worksheet xmlns="http://schemas.openxmlformats.org/spreadsheetml/2006/main">
  <sheetPr>
    <tabColor rgb="002E5A7A"/>
    <outlinePr summaryBelow="1" summaryRight="1"/>
    <pageSetUpPr/>
  </sheetPr>
  <dimension ref="B2:L45"/>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44" customWidth="1" min="2" max="2"/>
    <col width="12.6" customWidth="1" min="3" max="3"/>
    <col width="12.6" customWidth="1" min="4" max="4"/>
    <col width="12.6" customWidth="1" min="5" max="5"/>
    <col width="12.6" customWidth="1" min="6" max="6"/>
    <col width="12.6" customWidth="1" min="7" max="7"/>
    <col width="12.6" customWidth="1" min="8" max="8"/>
    <col width="12.6" customWidth="1" min="9" max="9"/>
    <col width="12.6" customWidth="1" min="10" max="10"/>
    <col width="2.2" customWidth="1" min="11" max="11"/>
    <col width="62" customWidth="1" min="12" max="12"/>
  </cols>
  <sheetData>
    <row r="2" ht="21" customHeight="1">
      <c r="B2" s="1" t="inlineStr">
        <is>
          <t>Income Statement</t>
        </is>
      </c>
    </row>
    <row r="3">
      <c r="B3" s="2" t="inlineStr">
        <is>
          <t>$ in thousands except per-share amounts. 2023–2025 as filed; 2026E–2030E driven off Segment Build and Assumptions.</t>
        </is>
      </c>
    </row>
    <row r="5" ht="18" customHeight="1">
      <c r="B5" s="36" t="inlineStr">
        <is>
          <t>($ in thousands unless noted)</t>
        </is>
      </c>
      <c r="C5" s="37" t="inlineStr">
        <is>
          <t>2023A</t>
        </is>
      </c>
      <c r="D5" s="37" t="inlineStr">
        <is>
          <t>2024A</t>
        </is>
      </c>
      <c r="E5" s="37" t="inlineStr">
        <is>
          <t>2025A</t>
        </is>
      </c>
      <c r="F5" s="37" t="inlineStr">
        <is>
          <t>2026E</t>
        </is>
      </c>
      <c r="G5" s="37" t="inlineStr">
        <is>
          <t>2027E</t>
        </is>
      </c>
      <c r="H5" s="37" t="inlineStr">
        <is>
          <t>2028E</t>
        </is>
      </c>
      <c r="I5" s="37" t="inlineStr">
        <is>
          <t>2029E</t>
        </is>
      </c>
      <c r="J5" s="37" t="inlineStr">
        <is>
          <t>2030E</t>
        </is>
      </c>
    </row>
    <row r="6" ht="6" customHeight="1"/>
    <row r="7" ht="15.5" customHeight="1">
      <c r="B7" s="3" t="inlineStr">
        <is>
          <t>REVENUE</t>
        </is>
      </c>
      <c r="C7" s="3" t="n"/>
      <c r="D7" s="3" t="n"/>
      <c r="E7" s="3" t="n"/>
      <c r="F7" s="3" t="n"/>
      <c r="G7" s="3" t="n"/>
      <c r="H7" s="3" t="n"/>
      <c r="I7" s="3" t="n"/>
      <c r="J7" s="3" t="n"/>
    </row>
    <row r="8">
      <c r="B8" s="38" t="inlineStr">
        <is>
          <t>Northern homebuilding</t>
        </is>
      </c>
      <c r="C8" s="51">
        <f>'Segment Build'!C32</f>
        <v/>
      </c>
      <c r="D8" s="51">
        <f>'Segment Build'!D32</f>
        <v/>
      </c>
      <c r="E8" s="51">
        <f>'Segment Build'!E32</f>
        <v/>
      </c>
      <c r="F8" s="51">
        <f>'Segment Build'!F32</f>
        <v/>
      </c>
      <c r="G8" s="51">
        <f>'Segment Build'!G32</f>
        <v/>
      </c>
      <c r="H8" s="51">
        <f>'Segment Build'!H32</f>
        <v/>
      </c>
      <c r="I8" s="51">
        <f>'Segment Build'!I32</f>
        <v/>
      </c>
      <c r="J8" s="51">
        <f>'Segment Build'!J32</f>
        <v/>
      </c>
    </row>
    <row r="9">
      <c r="B9" s="38" t="inlineStr">
        <is>
          <t>Southern homebuilding</t>
        </is>
      </c>
      <c r="C9" s="51">
        <f>'Segment Build'!C33</f>
        <v/>
      </c>
      <c r="D9" s="51">
        <f>'Segment Build'!D33</f>
        <v/>
      </c>
      <c r="E9" s="51">
        <f>'Segment Build'!E33</f>
        <v/>
      </c>
      <c r="F9" s="51">
        <f>'Segment Build'!F33</f>
        <v/>
      </c>
      <c r="G9" s="51">
        <f>'Segment Build'!G33</f>
        <v/>
      </c>
      <c r="H9" s="51">
        <f>'Segment Build'!H33</f>
        <v/>
      </c>
      <c r="I9" s="51">
        <f>'Segment Build'!I33</f>
        <v/>
      </c>
      <c r="J9" s="51">
        <f>'Segment Build'!J33</f>
        <v/>
      </c>
    </row>
    <row r="10">
      <c r="B10" s="38" t="inlineStr">
        <is>
          <t>Financial services</t>
        </is>
      </c>
      <c r="C10" s="51">
        <f>'Segment Build'!C29</f>
        <v/>
      </c>
      <c r="D10" s="51">
        <f>'Segment Build'!D29</f>
        <v/>
      </c>
      <c r="E10" s="51">
        <f>'Segment Build'!E29</f>
        <v/>
      </c>
      <c r="F10" s="51">
        <f>'Segment Build'!F29</f>
        <v/>
      </c>
      <c r="G10" s="51">
        <f>'Segment Build'!G29</f>
        <v/>
      </c>
      <c r="H10" s="51">
        <f>'Segment Build'!H29</f>
        <v/>
      </c>
      <c r="I10" s="51">
        <f>'Segment Build'!I29</f>
        <v/>
      </c>
      <c r="J10" s="51">
        <f>'Segment Build'!J29</f>
        <v/>
      </c>
    </row>
    <row r="11">
      <c r="B11" s="44" t="inlineStr">
        <is>
          <t>Total revenue</t>
        </is>
      </c>
      <c r="C11" s="45">
        <f>SUM(C8:C10)</f>
        <v/>
      </c>
      <c r="D11" s="45">
        <f>SUM(D8:D10)</f>
        <v/>
      </c>
      <c r="E11" s="45">
        <f>SUM(E8:E10)</f>
        <v/>
      </c>
      <c r="F11" s="45">
        <f>SUM(F8:F10)</f>
        <v/>
      </c>
      <c r="G11" s="45">
        <f>SUM(G8:G10)</f>
        <v/>
      </c>
      <c r="H11" s="45">
        <f>SUM(H8:H10)</f>
        <v/>
      </c>
      <c r="I11" s="45">
        <f>SUM(I8:I10)</f>
        <v/>
      </c>
      <c r="J11" s="45">
        <f>SUM(J8:J10)</f>
        <v/>
      </c>
    </row>
    <row r="12">
      <c r="B12" s="46" t="inlineStr">
        <is>
          <t xml:space="preserve">   growth (%)</t>
        </is>
      </c>
      <c r="D12" s="16">
        <f>D11/C11-1</f>
        <v/>
      </c>
      <c r="E12" s="16">
        <f>E11/D11-1</f>
        <v/>
      </c>
      <c r="F12" s="16">
        <f>F11/E11-1</f>
        <v/>
      </c>
      <c r="G12" s="16">
        <f>G11/F11-1</f>
        <v/>
      </c>
      <c r="H12" s="16">
        <f>H11/G11-1</f>
        <v/>
      </c>
      <c r="I12" s="16">
        <f>I11/H11-1</f>
        <v/>
      </c>
      <c r="J12" s="16">
        <f>J11/I11-1</f>
        <v/>
      </c>
    </row>
    <row r="13" ht="6" customHeight="1"/>
    <row r="14">
      <c r="B14" s="38" t="inlineStr">
        <is>
          <t>Land and housing costs</t>
        </is>
      </c>
      <c r="C14" s="51">
        <f>'Segment Build'!C37</f>
        <v/>
      </c>
      <c r="D14" s="51">
        <f>'Segment Build'!D37</f>
        <v/>
      </c>
      <c r="E14" s="51">
        <f>'Segment Build'!E37</f>
        <v/>
      </c>
      <c r="F14" s="51">
        <f>'Segment Build'!F37</f>
        <v/>
      </c>
      <c r="G14" s="51">
        <f>'Segment Build'!G37</f>
        <v/>
      </c>
      <c r="H14" s="51">
        <f>'Segment Build'!H37</f>
        <v/>
      </c>
      <c r="I14" s="51">
        <f>'Segment Build'!I37</f>
        <v/>
      </c>
      <c r="J14" s="51">
        <f>'Segment Build'!J37</f>
        <v/>
      </c>
    </row>
    <row r="15">
      <c r="B15" s="44" t="inlineStr">
        <is>
          <t>Gross profit</t>
        </is>
      </c>
      <c r="C15" s="45">
        <f>C11-C14</f>
        <v/>
      </c>
      <c r="D15" s="45">
        <f>D11-D14</f>
        <v/>
      </c>
      <c r="E15" s="45">
        <f>E11-E14</f>
        <v/>
      </c>
      <c r="F15" s="45">
        <f>F11-F14</f>
        <v/>
      </c>
      <c r="G15" s="45">
        <f>G11-G14</f>
        <v/>
      </c>
      <c r="H15" s="45">
        <f>H11-H14</f>
        <v/>
      </c>
      <c r="I15" s="45">
        <f>I11-I14</f>
        <v/>
      </c>
      <c r="J15" s="45">
        <f>J11-J14</f>
        <v/>
      </c>
    </row>
    <row r="16">
      <c r="B16" s="56" t="inlineStr">
        <is>
          <t xml:space="preserve">   gross margin — as reported (%)</t>
        </is>
      </c>
      <c r="C16" s="34">
        <f>C15/C11</f>
        <v/>
      </c>
      <c r="D16" s="34">
        <f>D15/D11</f>
        <v/>
      </c>
      <c r="E16" s="34">
        <f>E15/E11</f>
        <v/>
      </c>
      <c r="F16" s="34">
        <f>F15/F11</f>
        <v/>
      </c>
      <c r="G16" s="34">
        <f>G15/G11</f>
        <v/>
      </c>
      <c r="H16" s="34">
        <f>H15/H11</f>
        <v/>
      </c>
      <c r="I16" s="34">
        <f>I15/I11</f>
        <v/>
      </c>
      <c r="J16" s="34">
        <f>J15/J11</f>
        <v/>
      </c>
    </row>
    <row r="17">
      <c r="B17" s="56" t="inlineStr">
        <is>
          <t xml:space="preserve">   gross margin — homebuilding only (%)</t>
        </is>
      </c>
      <c r="C17" s="34">
        <f>1-C14/(C8+C9)</f>
        <v/>
      </c>
      <c r="D17" s="34">
        <f>1-D14/(D8+D9)</f>
        <v/>
      </c>
      <c r="E17" s="34">
        <f>1-E14/(E8+E9)</f>
        <v/>
      </c>
      <c r="F17" s="34">
        <f>1-F14/(F8+F9)</f>
        <v/>
      </c>
      <c r="G17" s="34">
        <f>1-G14/(G8+G9)</f>
        <v/>
      </c>
      <c r="H17" s="34">
        <f>1-H14/(H8+H9)</f>
        <v/>
      </c>
      <c r="I17" s="34">
        <f>1-I14/(I8+I9)</f>
        <v/>
      </c>
      <c r="J17" s="34">
        <f>1-J14/(J8+J9)</f>
        <v/>
      </c>
    </row>
    <row r="18" ht="6" customHeight="1"/>
    <row r="19" ht="15.5" customHeight="1">
      <c r="B19" s="3" t="inlineStr">
        <is>
          <t>OPERATING EXPENSES</t>
        </is>
      </c>
      <c r="C19" s="3" t="n"/>
      <c r="D19" s="3" t="n"/>
      <c r="E19" s="3" t="n"/>
      <c r="F19" s="3" t="n"/>
      <c r="G19" s="3" t="n"/>
      <c r="H19" s="3" t="n"/>
      <c r="I19" s="3" t="n"/>
      <c r="J19" s="3" t="n"/>
    </row>
    <row r="20">
      <c r="B20" s="38" t="inlineStr">
        <is>
          <t>Selling</t>
        </is>
      </c>
      <c r="C20" s="13">
        <f>Historicals!C36+Historicals!C37</f>
        <v/>
      </c>
      <c r="D20" s="13">
        <f>Historicals!D36+Historicals!D37</f>
        <v/>
      </c>
      <c r="E20" s="13">
        <f>Historicals!E36+Historicals!E37</f>
        <v/>
      </c>
      <c r="F20" s="13">
        <f>(F8+F9)*Assumptions!F30/100</f>
        <v/>
      </c>
      <c r="G20" s="13">
        <f>(G8+G9)*Assumptions!G30/100</f>
        <v/>
      </c>
      <c r="H20" s="13">
        <f>(H8+H9)*Assumptions!H30/100</f>
        <v/>
      </c>
      <c r="I20" s="13">
        <f>(I8+I9)*Assumptions!I30/100</f>
        <v/>
      </c>
      <c r="J20" s="13">
        <f>(J8+J9)*Assumptions!J30/100</f>
        <v/>
      </c>
    </row>
    <row r="21">
      <c r="B21" s="38" t="inlineStr">
        <is>
          <t>General and administrative</t>
        </is>
      </c>
      <c r="C21" s="13">
        <f>Historicals!C38+Historicals!C39+Historicals!C40</f>
        <v/>
      </c>
      <c r="D21" s="13">
        <f>Historicals!D38+Historicals!D39+Historicals!D40</f>
        <v/>
      </c>
      <c r="E21" s="13">
        <f>Historicals!E38+Historicals!E39+Historicals!E40</f>
        <v/>
      </c>
      <c r="F21" s="13">
        <f>(F8+F9)*Assumptions!F31/100+F10*(1-Assumptions!$C$37/100)</f>
        <v/>
      </c>
      <c r="G21" s="13">
        <f>(G8+G9)*Assumptions!G31/100+G10*(1-Assumptions!$C$37/100)</f>
        <v/>
      </c>
      <c r="H21" s="13">
        <f>(H8+H9)*Assumptions!H31/100+H10*(1-Assumptions!$C$37/100)</f>
        <v/>
      </c>
      <c r="I21" s="13">
        <f>(I8+I9)*Assumptions!I31/100+I10*(1-Assumptions!$C$37/100)</f>
        <v/>
      </c>
      <c r="J21" s="13">
        <f>(J8+J9)*Assumptions!J31/100+J10*(1-Assumptions!$C$37/100)</f>
        <v/>
      </c>
    </row>
    <row r="22">
      <c r="B22" s="38" t="inlineStr">
        <is>
          <t>Corporate / unallocated</t>
        </is>
      </c>
      <c r="C22" s="13">
        <f>-Historicals!C32</f>
        <v/>
      </c>
      <c r="D22" s="13">
        <f>-Historicals!D32</f>
        <v/>
      </c>
      <c r="E22" s="13">
        <f>-Historicals!E32</f>
        <v/>
      </c>
      <c r="F22" s="13">
        <f>-Assumptions!F32</f>
        <v/>
      </c>
      <c r="G22" s="13">
        <f>-Assumptions!G32</f>
        <v/>
      </c>
      <c r="H22" s="13">
        <f>-Assumptions!H32</f>
        <v/>
      </c>
      <c r="I22" s="13">
        <f>-Assumptions!I32</f>
        <v/>
      </c>
      <c r="J22" s="13">
        <f>-Assumptions!J32</f>
        <v/>
      </c>
    </row>
    <row r="23">
      <c r="B23" s="44" t="inlineStr">
        <is>
          <t>Total operating expenses</t>
        </is>
      </c>
      <c r="C23" s="45">
        <f>SUM(C20:C22)</f>
        <v/>
      </c>
      <c r="D23" s="45">
        <f>SUM(D20:D22)</f>
        <v/>
      </c>
      <c r="E23" s="45">
        <f>SUM(E20:E22)</f>
        <v/>
      </c>
      <c r="F23" s="45">
        <f>SUM(F20:F22)</f>
        <v/>
      </c>
      <c r="G23" s="45">
        <f>SUM(G20:G22)</f>
        <v/>
      </c>
      <c r="H23" s="45">
        <f>SUM(H20:H22)</f>
        <v/>
      </c>
      <c r="I23" s="45">
        <f>SUM(I20:I22)</f>
        <v/>
      </c>
      <c r="J23" s="45">
        <f>SUM(J20:J22)</f>
        <v/>
      </c>
    </row>
    <row r="24">
      <c r="B24" s="46" t="inlineStr">
        <is>
          <t xml:space="preserve">   SG&amp;A as % of total revenue</t>
        </is>
      </c>
      <c r="C24" s="16">
        <f>C23/C11</f>
        <v/>
      </c>
      <c r="D24" s="16">
        <f>D23/D11</f>
        <v/>
      </c>
      <c r="E24" s="16">
        <f>E23/E11</f>
        <v/>
      </c>
      <c r="F24" s="16">
        <f>F23/F11</f>
        <v/>
      </c>
      <c r="G24" s="16">
        <f>G23/G11</f>
        <v/>
      </c>
      <c r="H24" s="16">
        <f>H23/H11</f>
        <v/>
      </c>
      <c r="I24" s="16">
        <f>I23/I11</f>
        <v/>
      </c>
      <c r="J24" s="16">
        <f>J23/J11</f>
        <v/>
      </c>
    </row>
    <row r="25" ht="6" customHeight="1"/>
    <row r="26">
      <c r="B26" s="44" t="inlineStr">
        <is>
          <t>OPERATING INCOME</t>
        </is>
      </c>
      <c r="C26" s="45">
        <f>C15-C23</f>
        <v/>
      </c>
      <c r="D26" s="45">
        <f>D15-D23</f>
        <v/>
      </c>
      <c r="E26" s="45">
        <f>E15-E23</f>
        <v/>
      </c>
      <c r="F26" s="45">
        <f>F15-F23</f>
        <v/>
      </c>
      <c r="G26" s="45">
        <f>G15-G23</f>
        <v/>
      </c>
      <c r="H26" s="45">
        <f>H15-H23</f>
        <v/>
      </c>
      <c r="I26" s="45">
        <f>I15-I23</f>
        <v/>
      </c>
      <c r="J26" s="45">
        <f>J15-J23</f>
        <v/>
      </c>
    </row>
    <row r="27">
      <c r="B27" s="56" t="inlineStr">
        <is>
          <t xml:space="preserve">   operating margin (%)</t>
        </is>
      </c>
      <c r="C27" s="34">
        <f>C26/C11</f>
        <v/>
      </c>
      <c r="D27" s="34">
        <f>D26/D11</f>
        <v/>
      </c>
      <c r="E27" s="34">
        <f>E26/E11</f>
        <v/>
      </c>
      <c r="F27" s="34">
        <f>F26/F11</f>
        <v/>
      </c>
      <c r="G27" s="34">
        <f>G26/G11</f>
        <v/>
      </c>
      <c r="H27" s="34">
        <f>H26/H11</f>
        <v/>
      </c>
      <c r="I27" s="34">
        <f>I26/I11</f>
        <v/>
      </c>
      <c r="J27" s="34">
        <f>J26/J11</f>
        <v/>
      </c>
    </row>
    <row r="28">
      <c r="B28" s="38" t="inlineStr">
        <is>
          <t>Interest income, net of interest expense</t>
        </is>
      </c>
      <c r="C28" s="13">
        <f>Historicals!C44-Historicals!C33</f>
        <v/>
      </c>
      <c r="D28" s="13">
        <f>Historicals!D44-Historicals!D33</f>
        <v/>
      </c>
      <c r="E28" s="13">
        <f>Historicals!E44-Historicals!E33</f>
        <v/>
      </c>
      <c r="F28" s="13">
        <f>Assumptions!F34</f>
        <v/>
      </c>
      <c r="G28" s="13">
        <f>Assumptions!G34</f>
        <v/>
      </c>
      <c r="H28" s="13">
        <f>Assumptions!H34</f>
        <v/>
      </c>
      <c r="I28" s="13">
        <f>Assumptions!I34</f>
        <v/>
      </c>
      <c r="J28" s="13">
        <f>Assumptions!J34</f>
        <v/>
      </c>
    </row>
    <row r="29">
      <c r="B29" s="44" t="inlineStr">
        <is>
          <t>Income before income taxes</t>
        </is>
      </c>
      <c r="C29" s="45">
        <f>C26+C28</f>
        <v/>
      </c>
      <c r="D29" s="45">
        <f>D26+D28</f>
        <v/>
      </c>
      <c r="E29" s="45">
        <f>E26+E28</f>
        <v/>
      </c>
      <c r="F29" s="45">
        <f>F26+F28</f>
        <v/>
      </c>
      <c r="G29" s="45">
        <f>G26+G28</f>
        <v/>
      </c>
      <c r="H29" s="45">
        <f>H26+H28</f>
        <v/>
      </c>
      <c r="I29" s="45">
        <f>I26+I28</f>
        <v/>
      </c>
      <c r="J29" s="45">
        <f>J26+J28</f>
        <v/>
      </c>
    </row>
    <row r="30">
      <c r="B30" s="38" t="inlineStr">
        <is>
          <t>Provision for income taxes</t>
        </is>
      </c>
      <c r="C30" s="13">
        <f>Historicals!C45</f>
        <v/>
      </c>
      <c r="D30" s="13">
        <f>Historicals!D45</f>
        <v/>
      </c>
      <c r="E30" s="13">
        <f>Historicals!E45</f>
        <v/>
      </c>
      <c r="F30" s="13">
        <f>F29*Assumptions!$C$38/100</f>
        <v/>
      </c>
      <c r="G30" s="13">
        <f>G29*Assumptions!$C$38/100</f>
        <v/>
      </c>
      <c r="H30" s="13">
        <f>H29*Assumptions!$C$38/100</f>
        <v/>
      </c>
      <c r="I30" s="13">
        <f>I29*Assumptions!$C$38/100</f>
        <v/>
      </c>
      <c r="J30" s="13">
        <f>J29*Assumptions!$C$38/100</f>
        <v/>
      </c>
    </row>
    <row r="31">
      <c r="B31" s="46" t="inlineStr">
        <is>
          <t xml:space="preserve">   effective tax rate (%)</t>
        </is>
      </c>
      <c r="C31" s="16">
        <f>C30/C29</f>
        <v/>
      </c>
      <c r="D31" s="16">
        <f>D30/D29</f>
        <v/>
      </c>
      <c r="E31" s="16">
        <f>E30/E29</f>
        <v/>
      </c>
      <c r="F31" s="16">
        <f>F30/F29</f>
        <v/>
      </c>
      <c r="G31" s="16">
        <f>G30/G29</f>
        <v/>
      </c>
      <c r="H31" s="16">
        <f>H30/H29</f>
        <v/>
      </c>
      <c r="I31" s="16">
        <f>I30/I29</f>
        <v/>
      </c>
      <c r="J31" s="16">
        <f>J30/J29</f>
        <v/>
      </c>
    </row>
    <row r="32">
      <c r="B32" s="44" t="inlineStr">
        <is>
          <t>NET INCOME</t>
        </is>
      </c>
      <c r="C32" s="45">
        <f>C29-C30</f>
        <v/>
      </c>
      <c r="D32" s="45">
        <f>D29-D30</f>
        <v/>
      </c>
      <c r="E32" s="45">
        <f>E29-E30</f>
        <v/>
      </c>
      <c r="F32" s="45">
        <f>F29-F30</f>
        <v/>
      </c>
      <c r="G32" s="45">
        <f>G29-G30</f>
        <v/>
      </c>
      <c r="H32" s="45">
        <f>H29-H30</f>
        <v/>
      </c>
      <c r="I32" s="45">
        <f>I29-I30</f>
        <v/>
      </c>
      <c r="J32" s="45">
        <f>J29-J30</f>
        <v/>
      </c>
    </row>
    <row r="33">
      <c r="B33" s="46" t="inlineStr">
        <is>
          <t xml:space="preserve">   net margin (%)</t>
        </is>
      </c>
      <c r="C33" s="16">
        <f>C32/C11</f>
        <v/>
      </c>
      <c r="D33" s="16">
        <f>D32/D11</f>
        <v/>
      </c>
      <c r="E33" s="16">
        <f>E32/E11</f>
        <v/>
      </c>
      <c r="F33" s="16">
        <f>F32/F11</f>
        <v/>
      </c>
      <c r="G33" s="16">
        <f>G32/G11</f>
        <v/>
      </c>
      <c r="H33" s="16">
        <f>H32/H11</f>
        <v/>
      </c>
      <c r="I33" s="16">
        <f>I32/I11</f>
        <v/>
      </c>
      <c r="J33" s="16">
        <f>J32/J11</f>
        <v/>
      </c>
    </row>
    <row r="34" ht="6" customHeight="1"/>
    <row r="35" ht="15.5" customHeight="1">
      <c r="B35" s="3" t="inlineStr">
        <is>
          <t>PER SHARE</t>
        </is>
      </c>
      <c r="C35" s="3" t="n"/>
      <c r="D35" s="3" t="n"/>
      <c r="E35" s="3" t="n"/>
      <c r="F35" s="3" t="n"/>
      <c r="G35" s="3" t="n"/>
      <c r="H35" s="3" t="n"/>
      <c r="I35" s="3" t="n"/>
      <c r="J35" s="3" t="n"/>
    </row>
    <row r="36">
      <c r="B36" s="38" t="inlineStr">
        <is>
          <t>Diluted weighted-average shares (000)</t>
        </is>
      </c>
      <c r="C36" s="13">
        <f>Historicals!C48</f>
        <v/>
      </c>
      <c r="D36" s="13">
        <f>Historicals!D48</f>
        <v/>
      </c>
      <c r="E36" s="13">
        <f>Historicals!E48</f>
        <v/>
      </c>
      <c r="F36" s="13">
        <f>E36-Assumptions!F47/Assumptions!F48+Assumptions!F49</f>
        <v/>
      </c>
      <c r="G36" s="13">
        <f>F36-Assumptions!G47/Assumptions!G48+Assumptions!G49</f>
        <v/>
      </c>
      <c r="H36" s="13">
        <f>G36-Assumptions!H47/Assumptions!H48+Assumptions!H49</f>
        <v/>
      </c>
      <c r="I36" s="13">
        <f>H36-Assumptions!I47/Assumptions!I48+Assumptions!I49</f>
        <v/>
      </c>
      <c r="J36" s="13">
        <f>I36-Assumptions!J47/Assumptions!J48+Assumptions!J49</f>
        <v/>
      </c>
    </row>
    <row r="37">
      <c r="B37" s="44" t="inlineStr">
        <is>
          <t>Diluted EPS ($)</t>
        </is>
      </c>
      <c r="C37" s="57">
        <f>C32/C36</f>
        <v/>
      </c>
      <c r="D37" s="57">
        <f>D32/D36</f>
        <v/>
      </c>
      <c r="E37" s="57">
        <f>E32/E36</f>
        <v/>
      </c>
      <c r="F37" s="57">
        <f>F32/F36</f>
        <v/>
      </c>
      <c r="G37" s="57">
        <f>G32/G36</f>
        <v/>
      </c>
      <c r="H37" s="57">
        <f>H32/H36</f>
        <v/>
      </c>
      <c r="I37" s="57">
        <f>I32/I36</f>
        <v/>
      </c>
      <c r="J37" s="57">
        <f>J32/J36</f>
        <v/>
      </c>
    </row>
    <row r="38">
      <c r="B38" s="46" t="inlineStr">
        <is>
          <t xml:space="preserve">   growth (%)</t>
        </is>
      </c>
      <c r="D38" s="16">
        <f>D37/C37-1</f>
        <v/>
      </c>
      <c r="E38" s="16">
        <f>E37/D37-1</f>
        <v/>
      </c>
      <c r="F38" s="16">
        <f>F37/E37-1</f>
        <v/>
      </c>
      <c r="G38" s="16">
        <f>G37/F37-1</f>
        <v/>
      </c>
      <c r="H38" s="16">
        <f>H37/G37-1</f>
        <v/>
      </c>
      <c r="I38" s="16">
        <f>I37/H37-1</f>
        <v/>
      </c>
      <c r="J38" s="16">
        <f>J37/I37-1</f>
        <v/>
      </c>
    </row>
    <row r="39" ht="6" customHeight="1"/>
    <row r="40" ht="15.5" customHeight="1">
      <c r="B40" s="3" t="inlineStr">
        <is>
          <t>MEMO — SEGMENT OPERATING INCOME</t>
        </is>
      </c>
      <c r="C40" s="3" t="n"/>
      <c r="D40" s="3" t="n"/>
      <c r="E40" s="3" t="n"/>
      <c r="F40" s="3" t="n"/>
      <c r="G40" s="3" t="n"/>
      <c r="H40" s="3" t="n"/>
      <c r="I40" s="3" t="n"/>
      <c r="J40" s="3" t="n"/>
    </row>
    <row r="41">
      <c r="B41" s="38" t="inlineStr">
        <is>
          <t>Northern homebuilding</t>
        </is>
      </c>
      <c r="C41" s="13">
        <f>Historicals!C29</f>
        <v/>
      </c>
      <c r="D41" s="13">
        <f>Historicals!D29</f>
        <v/>
      </c>
      <c r="E41" s="13">
        <f>Historicals!E29</f>
        <v/>
      </c>
      <c r="F41" s="13">
        <f>F8-('Segment Build'!F8*'Segment Build'!F12+'Segment Build'!F28*(1-Assumptions!$C$36/100)*(1-Assumptions!$C$35/100)+Assumptions!F33*0.25)-(F20+(F8+F9)*Assumptions!F31/100)*F8/(F8+F9)</f>
        <v/>
      </c>
      <c r="G41" s="13">
        <f>G8-('Segment Build'!G8*'Segment Build'!G12+'Segment Build'!G28*(1-Assumptions!$C$36/100)*(1-Assumptions!$C$35/100)+Assumptions!G33*0.25)-(G20+(G8+G9)*Assumptions!G31/100)*G8/(G8+G9)</f>
        <v/>
      </c>
      <c r="H41" s="13">
        <f>H8-('Segment Build'!H8*'Segment Build'!H12+'Segment Build'!H28*(1-Assumptions!$C$36/100)*(1-Assumptions!$C$35/100)+Assumptions!H33*0.25)-(H20+(H8+H9)*Assumptions!H31/100)*H8/(H8+H9)</f>
        <v/>
      </c>
      <c r="I41" s="13">
        <f>I8-('Segment Build'!I8*'Segment Build'!I12+'Segment Build'!I28*(1-Assumptions!$C$36/100)*(1-Assumptions!$C$35/100)+Assumptions!I33*0.25)-(I20+(I8+I9)*Assumptions!I31/100)*I8/(I8+I9)</f>
        <v/>
      </c>
      <c r="J41" s="13">
        <f>J8-('Segment Build'!J8*'Segment Build'!J12+'Segment Build'!J28*(1-Assumptions!$C$36/100)*(1-Assumptions!$C$35/100)+Assumptions!J33*0.25)-(J20+(J8+J9)*Assumptions!J31/100)*J8/(J8+J9)</f>
        <v/>
      </c>
    </row>
    <row r="42">
      <c r="B42" s="38" t="inlineStr">
        <is>
          <t>Southern homebuilding</t>
        </is>
      </c>
      <c r="C42" s="13">
        <f>Historicals!C30</f>
        <v/>
      </c>
      <c r="D42" s="13">
        <f>Historicals!D30</f>
        <v/>
      </c>
      <c r="E42" s="13">
        <f>Historicals!E30</f>
        <v/>
      </c>
      <c r="F42" s="13">
        <f>F9-('Segment Build'!F18*'Segment Build'!F22+'Segment Build'!F28*Assumptions!$C$36/100*(1-Assumptions!$C$35/100)+Assumptions!F33*0.75)-(F20+(F8+F9)*Assumptions!F31/100)*F9/(F8+F9)</f>
        <v/>
      </c>
      <c r="G42" s="13">
        <f>G9-('Segment Build'!G18*'Segment Build'!G22+'Segment Build'!G28*Assumptions!$C$36/100*(1-Assumptions!$C$35/100)+Assumptions!G33*0.75)-(G20+(G8+G9)*Assumptions!G31/100)*G9/(G8+G9)</f>
        <v/>
      </c>
      <c r="H42" s="13">
        <f>H9-('Segment Build'!H18*'Segment Build'!H22+'Segment Build'!H28*Assumptions!$C$36/100*(1-Assumptions!$C$35/100)+Assumptions!H33*0.75)-(H20+(H8+H9)*Assumptions!H31/100)*H9/(H8+H9)</f>
        <v/>
      </c>
      <c r="I42" s="13">
        <f>I9-('Segment Build'!I18*'Segment Build'!I22+'Segment Build'!I28*Assumptions!$C$36/100*(1-Assumptions!$C$35/100)+Assumptions!I33*0.75)-(I20+(I8+I9)*Assumptions!I31/100)*I9/(I8+I9)</f>
        <v/>
      </c>
      <c r="J42" s="13">
        <f>J9-('Segment Build'!J18*'Segment Build'!J22+'Segment Build'!J28*Assumptions!$C$36/100*(1-Assumptions!$C$35/100)+Assumptions!J33*0.75)-(J20+(J8+J9)*Assumptions!J31/100)*J9/(J8+J9)</f>
        <v/>
      </c>
    </row>
    <row r="43">
      <c r="B43" s="38" t="inlineStr">
        <is>
          <t>Financial services</t>
        </is>
      </c>
      <c r="C43" s="13">
        <f>Historicals!C31</f>
        <v/>
      </c>
      <c r="D43" s="13">
        <f>Historicals!D31</f>
        <v/>
      </c>
      <c r="E43" s="13">
        <f>Historicals!E31</f>
        <v/>
      </c>
      <c r="F43" s="13">
        <f>F10*Assumptions!$C$37/100</f>
        <v/>
      </c>
      <c r="G43" s="13">
        <f>G10*Assumptions!$C$37/100</f>
        <v/>
      </c>
      <c r="H43" s="13">
        <f>H10*Assumptions!$C$37/100</f>
        <v/>
      </c>
      <c r="I43" s="13">
        <f>I10*Assumptions!$C$37/100</f>
        <v/>
      </c>
      <c r="J43" s="13">
        <f>J10*Assumptions!$C$37/100</f>
        <v/>
      </c>
    </row>
    <row r="44">
      <c r="B44" s="38" t="inlineStr">
        <is>
          <t>Northern operating margin (%)</t>
        </is>
      </c>
      <c r="C44" s="16">
        <f>C41/C8</f>
        <v/>
      </c>
      <c r="D44" s="16">
        <f>D41/D8</f>
        <v/>
      </c>
      <c r="E44" s="16">
        <f>E41/E8</f>
        <v/>
      </c>
      <c r="F44" s="16">
        <f>F41/F8</f>
        <v/>
      </c>
      <c r="G44" s="16">
        <f>G41/G8</f>
        <v/>
      </c>
      <c r="H44" s="16">
        <f>H41/H8</f>
        <v/>
      </c>
      <c r="I44" s="16">
        <f>I41/I8</f>
        <v/>
      </c>
      <c r="J44" s="16">
        <f>J41/J8</f>
        <v/>
      </c>
    </row>
    <row r="45">
      <c r="B45" s="38" t="inlineStr">
        <is>
          <t>Southern operating margin (%)</t>
        </is>
      </c>
      <c r="C45" s="16">
        <f>C42/C9</f>
        <v/>
      </c>
      <c r="D45" s="16">
        <f>D42/D9</f>
        <v/>
      </c>
      <c r="E45" s="16">
        <f>E42/E9</f>
        <v/>
      </c>
      <c r="F45" s="16">
        <f>F42/F9</f>
        <v/>
      </c>
      <c r="G45" s="16">
        <f>G42/G9</f>
        <v/>
      </c>
      <c r="H45" s="16">
        <f>H42/H9</f>
        <v/>
      </c>
      <c r="I45" s="16">
        <f>I42/I9</f>
        <v/>
      </c>
      <c r="J45" s="16">
        <f>J42/J9</f>
        <v/>
      </c>
      <c r="L45" s="9" t="inlineStr">
        <is>
          <t>Base case does NOT restore Southern to its 2024 peak of 18.1%. Getting back there is the bull case, not the base case.</t>
        </is>
      </c>
    </row>
  </sheetData>
  <pageMargins left="0.75" right="0.75" top="1" bottom="1" header="0.5" footer="0.5"/>
</worksheet>
</file>

<file path=xl/worksheets/sheet7.xml><?xml version="1.0" encoding="utf-8"?>
<worksheet xmlns="http://schemas.openxmlformats.org/spreadsheetml/2006/main">
  <sheetPr>
    <tabColor rgb="002E5A7A"/>
    <outlinePr summaryBelow="1" summaryRight="1"/>
    <pageSetUpPr/>
  </sheetPr>
  <dimension ref="B2:L30"/>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44" customWidth="1" min="2" max="2"/>
    <col width="12.6" customWidth="1" min="3" max="3"/>
    <col width="12.6" customWidth="1" min="4" max="4"/>
    <col width="12.6" customWidth="1" min="5" max="5"/>
    <col width="12.6" customWidth="1" min="6" max="6"/>
    <col width="12.6" customWidth="1" min="7" max="7"/>
    <col width="12.6" customWidth="1" min="8" max="8"/>
    <col width="12.6" customWidth="1" min="9" max="9"/>
    <col width="12.6" customWidth="1" min="10" max="10"/>
    <col width="2.2" customWidth="1" min="11" max="11"/>
    <col width="62" customWidth="1" min="12" max="12"/>
  </cols>
  <sheetData>
    <row r="2" ht="21" customHeight="1">
      <c r="B2" s="1" t="inlineStr">
        <is>
          <t>Balance Sheet</t>
        </is>
      </c>
    </row>
    <row r="3">
      <c r="B3" s="2" t="inlineStr">
        <is>
          <t>$ in thousands. Cash is driven off the cash flow statement; inventory off turns. The check row at the bottom must read zero in every column.</t>
        </is>
      </c>
    </row>
    <row r="5" ht="18" customHeight="1">
      <c r="B5" s="36" t="inlineStr">
        <is>
          <t>($ in thousands unless noted)</t>
        </is>
      </c>
      <c r="C5" s="37" t="inlineStr">
        <is>
          <t>2023A</t>
        </is>
      </c>
      <c r="D5" s="37" t="inlineStr">
        <is>
          <t>2024A</t>
        </is>
      </c>
      <c r="E5" s="37" t="inlineStr">
        <is>
          <t>2025A</t>
        </is>
      </c>
      <c r="F5" s="37" t="inlineStr">
        <is>
          <t>2026E</t>
        </is>
      </c>
      <c r="G5" s="37" t="inlineStr">
        <is>
          <t>2027E</t>
        </is>
      </c>
      <c r="H5" s="37" t="inlineStr">
        <is>
          <t>2028E</t>
        </is>
      </c>
      <c r="I5" s="37" t="inlineStr">
        <is>
          <t>2029E</t>
        </is>
      </c>
      <c r="J5" s="37" t="inlineStr">
        <is>
          <t>2030E</t>
        </is>
      </c>
    </row>
    <row r="6" ht="6" customHeight="1"/>
    <row r="7" ht="15.5" customHeight="1">
      <c r="B7" s="3" t="inlineStr">
        <is>
          <t>ASSETS</t>
        </is>
      </c>
      <c r="C7" s="3" t="n"/>
      <c r="D7" s="3" t="n"/>
      <c r="E7" s="3" t="n"/>
      <c r="F7" s="3" t="n"/>
      <c r="G7" s="3" t="n"/>
      <c r="H7" s="3" t="n"/>
      <c r="I7" s="3" t="n"/>
      <c r="J7" s="3" t="n"/>
    </row>
    <row r="8">
      <c r="B8" s="38" t="inlineStr">
        <is>
          <t>Cash and cash equivalents</t>
        </is>
      </c>
      <c r="C8" s="51">
        <f>Historicals!C52</f>
        <v/>
      </c>
      <c r="D8" s="51">
        <f>Historicals!D52</f>
        <v/>
      </c>
      <c r="E8" s="51">
        <f>Historicals!E52</f>
        <v/>
      </c>
      <c r="F8" s="51">
        <f>CF!F27</f>
        <v/>
      </c>
      <c r="G8" s="51">
        <f>CF!G27</f>
        <v/>
      </c>
      <c r="H8" s="51">
        <f>CF!H27</f>
        <v/>
      </c>
      <c r="I8" s="51">
        <f>CF!I27</f>
        <v/>
      </c>
      <c r="J8" s="51">
        <f>CF!J27</f>
        <v/>
      </c>
    </row>
    <row r="9">
      <c r="B9" s="38" t="inlineStr">
        <is>
          <t>Inventory</t>
        </is>
      </c>
      <c r="C9" s="13">
        <f>Historicals!C53</f>
        <v/>
      </c>
      <c r="D9" s="13">
        <f>Historicals!D53</f>
        <v/>
      </c>
      <c r="E9" s="13">
        <f>Historicals!E53</f>
        <v/>
      </c>
      <c r="F9" s="13">
        <f>'Segment Build'!F34/Assumptions!F41</f>
        <v/>
      </c>
      <c r="G9" s="13">
        <f>'Segment Build'!G34/Assumptions!G41</f>
        <v/>
      </c>
      <c r="H9" s="13">
        <f>'Segment Build'!H34/Assumptions!H41</f>
        <v/>
      </c>
      <c r="I9" s="13">
        <f>'Segment Build'!I34/Assumptions!I41</f>
        <v/>
      </c>
      <c r="J9" s="13">
        <f>'Segment Build'!J34/Assumptions!J41</f>
        <v/>
      </c>
      <c r="L9" s="9" t="inlineStr">
        <is>
          <t>Land, land under development, and homes under construction — 71% of assets and the reason builders trade on book.</t>
        </is>
      </c>
    </row>
    <row r="10">
      <c r="B10" s="38" t="inlineStr">
        <is>
          <t>Property and equipment, net</t>
        </is>
      </c>
      <c r="C10" s="13">
        <f>Assumptions!$C$52</f>
        <v/>
      </c>
      <c r="D10" s="13">
        <f>Assumptions!$C$52</f>
        <v/>
      </c>
      <c r="E10" s="13">
        <f>Assumptions!$C$52</f>
        <v/>
      </c>
      <c r="F10" s="13">
        <f>E10+Assumptions!F44-Assumptions!F45</f>
        <v/>
      </c>
      <c r="G10" s="13">
        <f>F10+Assumptions!G44-Assumptions!G45</f>
        <v/>
      </c>
      <c r="H10" s="13">
        <f>G10+Assumptions!H44-Assumptions!H45</f>
        <v/>
      </c>
      <c r="I10" s="13">
        <f>H10+Assumptions!I44-Assumptions!I45</f>
        <v/>
      </c>
      <c r="J10" s="13">
        <f>I10+Assumptions!J44-Assumptions!J45</f>
        <v/>
      </c>
    </row>
    <row r="11">
      <c r="B11" s="38" t="inlineStr">
        <is>
          <t>Other assets (mortgage loans held for sale, deferred tax, other)</t>
        </is>
      </c>
      <c r="C11" s="13">
        <f>Historicals!C54-C8-C9-C10</f>
        <v/>
      </c>
      <c r="D11" s="13">
        <f>Historicals!D54-D8-D9-D10</f>
        <v/>
      </c>
      <c r="E11" s="13">
        <f>Historicals!E54-E8-E9-E10</f>
        <v/>
      </c>
      <c r="F11" s="13">
        <f>IS!F11*Assumptions!F42/100</f>
        <v/>
      </c>
      <c r="G11" s="13">
        <f>IS!G11*Assumptions!G42/100</f>
        <v/>
      </c>
      <c r="H11" s="13">
        <f>IS!H11*Assumptions!H42/100</f>
        <v/>
      </c>
      <c r="I11" s="13">
        <f>IS!I11*Assumptions!I42/100</f>
        <v/>
      </c>
      <c r="J11" s="13">
        <f>IS!J11*Assumptions!J42/100</f>
        <v/>
      </c>
    </row>
    <row r="12">
      <c r="B12" s="44" t="inlineStr">
        <is>
          <t>TOTAL ASSETS</t>
        </is>
      </c>
      <c r="C12" s="45">
        <f>SUM(C8:C11)</f>
        <v/>
      </c>
      <c r="D12" s="45">
        <f>SUM(D8:D11)</f>
        <v/>
      </c>
      <c r="E12" s="45">
        <f>SUM(E8:E11)</f>
        <v/>
      </c>
      <c r="F12" s="45">
        <f>SUM(F8:F11)</f>
        <v/>
      </c>
      <c r="G12" s="45">
        <f>SUM(G8:G11)</f>
        <v/>
      </c>
      <c r="H12" s="45">
        <f>SUM(H8:H11)</f>
        <v/>
      </c>
      <c r="I12" s="45">
        <f>SUM(I8:I11)</f>
        <v/>
      </c>
      <c r="J12" s="45">
        <f>SUM(J8:J11)</f>
        <v/>
      </c>
    </row>
    <row r="13" ht="6" customHeight="1"/>
    <row r="14" ht="15.5" customHeight="1">
      <c r="B14" s="3" t="inlineStr">
        <is>
          <t>LIABILITIES AND EQUITY</t>
        </is>
      </c>
      <c r="C14" s="3" t="n"/>
      <c r="D14" s="3" t="n"/>
      <c r="E14" s="3" t="n"/>
      <c r="F14" s="3" t="n"/>
      <c r="G14" s="3" t="n"/>
      <c r="H14" s="3" t="n"/>
      <c r="I14" s="3" t="n"/>
      <c r="J14" s="3" t="n"/>
    </row>
    <row r="15">
      <c r="B15" s="38" t="inlineStr">
        <is>
          <t>Homebuilding debt (senior notes)</t>
        </is>
      </c>
      <c r="C15" s="51">
        <f>Historicals!C55</f>
        <v/>
      </c>
      <c r="D15" s="51">
        <f>Historicals!D55</f>
        <v/>
      </c>
      <c r="E15" s="51">
        <f>Historicals!E55</f>
        <v/>
      </c>
      <c r="F15" s="51">
        <f>Assumptions!F50</f>
        <v/>
      </c>
      <c r="G15" s="51">
        <f>Assumptions!G50</f>
        <v/>
      </c>
      <c r="H15" s="51">
        <f>Assumptions!H50</f>
        <v/>
      </c>
      <c r="I15" s="51">
        <f>Assumptions!I50</f>
        <v/>
      </c>
      <c r="J15" s="51">
        <f>Assumptions!J50</f>
        <v/>
      </c>
    </row>
    <row r="16">
      <c r="B16" s="38" t="inlineStr">
        <is>
          <t>Financial services debt (warehouse facilities)</t>
        </is>
      </c>
      <c r="C16" s="51">
        <f>Historicals!C56</f>
        <v/>
      </c>
      <c r="D16" s="51">
        <f>Historicals!D56</f>
        <v/>
      </c>
      <c r="E16" s="51">
        <f>Historicals!E56</f>
        <v/>
      </c>
      <c r="F16" s="51">
        <f>Assumptions!F51</f>
        <v/>
      </c>
      <c r="G16" s="51">
        <f>Assumptions!G51</f>
        <v/>
      </c>
      <c r="H16" s="51">
        <f>Assumptions!H51</f>
        <v/>
      </c>
      <c r="I16" s="51">
        <f>Assumptions!I51</f>
        <v/>
      </c>
      <c r="J16" s="51">
        <f>Assumptions!J51</f>
        <v/>
      </c>
    </row>
    <row r="17">
      <c r="B17" s="38" t="inlineStr">
        <is>
          <t>Accounts payable, accruals, deposits and other</t>
        </is>
      </c>
      <c r="C17" s="13">
        <f>Historicals!C54-Historicals!C57-C15-C16</f>
        <v/>
      </c>
      <c r="D17" s="13">
        <f>Historicals!D54-Historicals!D57-D15-D16</f>
        <v/>
      </c>
      <c r="E17" s="13">
        <f>Historicals!E54-Historicals!E57-E15-E16</f>
        <v/>
      </c>
      <c r="F17" s="13">
        <f>IS!F11*Assumptions!F43/100</f>
        <v/>
      </c>
      <c r="G17" s="13">
        <f>IS!G11*Assumptions!G43/100</f>
        <v/>
      </c>
      <c r="H17" s="13">
        <f>IS!H11*Assumptions!H43/100</f>
        <v/>
      </c>
      <c r="I17" s="13">
        <f>IS!I11*Assumptions!I43/100</f>
        <v/>
      </c>
      <c r="J17" s="13">
        <f>IS!J11*Assumptions!J43/100</f>
        <v/>
      </c>
    </row>
    <row r="18">
      <c r="B18" s="44" t="inlineStr">
        <is>
          <t>Total liabilities</t>
        </is>
      </c>
      <c r="C18" s="45">
        <f>SUM(C15:C17)</f>
        <v/>
      </c>
      <c r="D18" s="45">
        <f>SUM(D15:D17)</f>
        <v/>
      </c>
      <c r="E18" s="45">
        <f>SUM(E15:E17)</f>
        <v/>
      </c>
      <c r="F18" s="45">
        <f>SUM(F15:F17)</f>
        <v/>
      </c>
      <c r="G18" s="45">
        <f>SUM(G15:G17)</f>
        <v/>
      </c>
      <c r="H18" s="45">
        <f>SUM(H15:H17)</f>
        <v/>
      </c>
      <c r="I18" s="45">
        <f>SUM(I15:I17)</f>
        <v/>
      </c>
      <c r="J18" s="45">
        <f>SUM(J15:J17)</f>
        <v/>
      </c>
    </row>
    <row r="19">
      <c r="B19" s="49" t="inlineStr">
        <is>
          <t>Shareholders' equity</t>
        </is>
      </c>
      <c r="C19" s="58">
        <f>Historicals!C57</f>
        <v/>
      </c>
      <c r="D19" s="58">
        <f>Historicals!D57</f>
        <v/>
      </c>
      <c r="E19" s="58">
        <f>Historicals!E57</f>
        <v/>
      </c>
      <c r="F19" s="58">
        <f>E19+IS!F32+Assumptions!F46-Assumptions!F47</f>
        <v/>
      </c>
      <c r="G19" s="58">
        <f>F19+IS!G32+Assumptions!G46-Assumptions!G47</f>
        <v/>
      </c>
      <c r="H19" s="58">
        <f>G19+IS!H32+Assumptions!H46-Assumptions!H47</f>
        <v/>
      </c>
      <c r="I19" s="58">
        <f>H19+IS!I32+Assumptions!I46-Assumptions!I47</f>
        <v/>
      </c>
      <c r="J19" s="58">
        <f>I19+IS!J32+Assumptions!J46-Assumptions!J47</f>
        <v/>
      </c>
    </row>
    <row r="20">
      <c r="B20" s="44" t="inlineStr">
        <is>
          <t>TOTAL LIABILITIES AND EQUITY</t>
        </is>
      </c>
      <c r="C20" s="45">
        <f>C18+C19</f>
        <v/>
      </c>
      <c r="D20" s="45">
        <f>D18+D19</f>
        <v/>
      </c>
      <c r="E20" s="45">
        <f>E18+E19</f>
        <v/>
      </c>
      <c r="F20" s="45">
        <f>F18+F19</f>
        <v/>
      </c>
      <c r="G20" s="45">
        <f>G18+G19</f>
        <v/>
      </c>
      <c r="H20" s="45">
        <f>H18+H19</f>
        <v/>
      </c>
      <c r="I20" s="45">
        <f>I18+I19</f>
        <v/>
      </c>
      <c r="J20" s="45">
        <f>J18+J19</f>
        <v/>
      </c>
    </row>
    <row r="21">
      <c r="B21" s="49" t="inlineStr">
        <is>
          <t>CHECK — assets less liabilities and equity</t>
        </is>
      </c>
      <c r="C21" s="59">
        <f>C12-C20</f>
        <v/>
      </c>
      <c r="D21" s="59">
        <f>D12-D20</f>
        <v/>
      </c>
      <c r="E21" s="59">
        <f>E12-E20</f>
        <v/>
      </c>
      <c r="F21" s="59">
        <f>F12-F20</f>
        <v/>
      </c>
      <c r="G21" s="59">
        <f>G12-G20</f>
        <v/>
      </c>
      <c r="H21" s="59">
        <f>H12-H20</f>
        <v/>
      </c>
      <c r="I21" s="59">
        <f>I12-I20</f>
        <v/>
      </c>
      <c r="J21" s="59">
        <f>J12-J20</f>
        <v/>
      </c>
      <c r="L21" s="9" t="inlineStr">
        <is>
          <t>Must be zero. Equity rolls forward from net income, stock comp and buybacks; other liabilities is the revenue-driven line.</t>
        </is>
      </c>
    </row>
    <row r="22" ht="6" customHeight="1"/>
    <row r="23" ht="15.5" customHeight="1">
      <c r="B23" s="3" t="inlineStr">
        <is>
          <t>CAPITAL STRUCTURE AND RETURNS</t>
        </is>
      </c>
      <c r="C23" s="3" t="n"/>
      <c r="D23" s="3" t="n"/>
      <c r="E23" s="3" t="n"/>
      <c r="F23" s="3" t="n"/>
      <c r="G23" s="3" t="n"/>
      <c r="H23" s="3" t="n"/>
      <c r="I23" s="3" t="n"/>
      <c r="J23" s="3" t="n"/>
    </row>
    <row r="24">
      <c r="B24" s="38" t="inlineStr">
        <is>
          <t>Shares outstanding, year end (000)</t>
        </is>
      </c>
      <c r="C24" s="13">
        <f>Historicals!C49</f>
        <v/>
      </c>
      <c r="D24" s="13">
        <f>Historicals!D49</f>
        <v/>
      </c>
      <c r="E24" s="13">
        <f>Historicals!E49</f>
        <v/>
      </c>
      <c r="F24" s="13">
        <f>IS!F36-600</f>
        <v/>
      </c>
      <c r="G24" s="13">
        <f>IS!G36-600</f>
        <v/>
      </c>
      <c r="H24" s="13">
        <f>IS!H36-600</f>
        <v/>
      </c>
      <c r="I24" s="13">
        <f>IS!I36-600</f>
        <v/>
      </c>
      <c r="J24" s="13">
        <f>IS!J36-600</f>
        <v/>
      </c>
    </row>
    <row r="25">
      <c r="B25" s="44" t="inlineStr">
        <is>
          <t>Book value per share ($)</t>
        </is>
      </c>
      <c r="C25" s="57">
        <f>C19/C24</f>
        <v/>
      </c>
      <c r="D25" s="57">
        <f>D19/D24</f>
        <v/>
      </c>
      <c r="E25" s="57">
        <f>E19/E24</f>
        <v/>
      </c>
      <c r="F25" s="57">
        <f>F19/F24</f>
        <v/>
      </c>
      <c r="G25" s="57">
        <f>G19/G24</f>
        <v/>
      </c>
      <c r="H25" s="57">
        <f>H19/H24</f>
        <v/>
      </c>
      <c r="I25" s="57">
        <f>I19/I24</f>
        <v/>
      </c>
      <c r="J25" s="57">
        <f>J19/J24</f>
        <v/>
      </c>
    </row>
    <row r="26">
      <c r="B26" s="38" t="inlineStr">
        <is>
          <t>Tangible book value per share ($)</t>
        </is>
      </c>
      <c r="C26" s="50">
        <f>(C19-16100)/C24</f>
        <v/>
      </c>
      <c r="D26" s="50">
        <f>(D19-16100)/D24</f>
        <v/>
      </c>
      <c r="E26" s="50">
        <f>(E19-16100)/E24</f>
        <v/>
      </c>
      <c r="F26" s="50">
        <f>(F19-16100)/F24</f>
        <v/>
      </c>
      <c r="G26" s="50">
        <f>(G19-16100)/G24</f>
        <v/>
      </c>
      <c r="H26" s="50">
        <f>(H19-16100)/H24</f>
        <v/>
      </c>
      <c r="I26" s="50">
        <f>(I19-16100)/I24</f>
        <v/>
      </c>
      <c r="J26" s="50">
        <f>(J19-16100)/J24</f>
        <v/>
      </c>
      <c r="L26" s="9" t="inlineStr">
        <is>
          <t>Goodwill of $16.1m — immaterial, so P/B and P/TB are near-identical for MHO.</t>
        </is>
      </c>
    </row>
    <row r="27">
      <c r="B27" s="38" t="inlineStr">
        <is>
          <t>Net debt / (net cash) — homebuilding only</t>
        </is>
      </c>
      <c r="C27" s="13">
        <f>C15-C8</f>
        <v/>
      </c>
      <c r="D27" s="13">
        <f>D15-D8</f>
        <v/>
      </c>
      <c r="E27" s="13">
        <f>E15-E8</f>
        <v/>
      </c>
      <c r="F27" s="13">
        <f>F15-F8</f>
        <v/>
      </c>
      <c r="G27" s="13">
        <f>G15-G8</f>
        <v/>
      </c>
      <c r="H27" s="13">
        <f>H15-H8</f>
        <v/>
      </c>
      <c r="I27" s="13">
        <f>I15-I8</f>
        <v/>
      </c>
      <c r="J27" s="13">
        <f>J15-J8</f>
        <v/>
      </c>
      <c r="L27" s="9" t="inlineStr">
        <is>
          <t>Financial services warehouse debt is excluded: it funds mortgage loans held for sale and is matched by those assets.</t>
        </is>
      </c>
    </row>
    <row r="28">
      <c r="B28" s="38" t="inlineStr">
        <is>
          <t>Homebuilding debt / total capital (%)</t>
        </is>
      </c>
      <c r="C28" s="16">
        <f>C15/(C15+C19)</f>
        <v/>
      </c>
      <c r="D28" s="16">
        <f>D15/(D15+D19)</f>
        <v/>
      </c>
      <c r="E28" s="16">
        <f>E15/(E15+E19)</f>
        <v/>
      </c>
      <c r="F28" s="16">
        <f>F15/(F15+F19)</f>
        <v/>
      </c>
      <c r="G28" s="16">
        <f>G15/(G15+G19)</f>
        <v/>
      </c>
      <c r="H28" s="16">
        <f>H15/(H15+H19)</f>
        <v/>
      </c>
      <c r="I28" s="16">
        <f>I15/(I15+I19)</f>
        <v/>
      </c>
      <c r="J28" s="16">
        <f>J15/(J15+J19)</f>
        <v/>
      </c>
    </row>
    <row r="29">
      <c r="B29" s="49" t="inlineStr">
        <is>
          <t>Return on equity (%)</t>
        </is>
      </c>
      <c r="C29" s="34">
        <f>IS!C32/C19</f>
        <v/>
      </c>
      <c r="D29" s="34">
        <f>IS!D32/D19</f>
        <v/>
      </c>
      <c r="E29" s="34">
        <f>IS!E32/E19</f>
        <v/>
      </c>
      <c r="F29" s="34">
        <f>IS!F32/F19</f>
        <v/>
      </c>
      <c r="G29" s="34">
        <f>IS!G32/G19</f>
        <v/>
      </c>
      <c r="H29" s="34">
        <f>IS!H32/H19</f>
        <v/>
      </c>
      <c r="I29" s="34">
        <f>IS!I32/I19</f>
        <v/>
      </c>
      <c r="J29" s="34">
        <f>IS!J32/J19</f>
        <v/>
      </c>
      <c r="L29" s="9" t="inlineStr">
        <is>
          <t>THE valuation variable. Peer P/B is 96% explained by ROE — see the Comps sheet.</t>
        </is>
      </c>
    </row>
    <row r="30">
      <c r="B30" s="38" t="inlineStr">
        <is>
          <t>Inventory turns (x)</t>
        </is>
      </c>
      <c r="C30" s="60">
        <f>'Segment Build'!C34/C9</f>
        <v/>
      </c>
      <c r="D30" s="60">
        <f>'Segment Build'!D34/D9</f>
        <v/>
      </c>
      <c r="E30" s="60">
        <f>'Segment Build'!E34/E9</f>
        <v/>
      </c>
      <c r="F30" s="60">
        <f>'Segment Build'!F34/F9</f>
        <v/>
      </c>
      <c r="G30" s="60">
        <f>'Segment Build'!G34/G9</f>
        <v/>
      </c>
      <c r="H30" s="60">
        <f>'Segment Build'!H34/H9</f>
        <v/>
      </c>
      <c r="I30" s="60">
        <f>'Segment Build'!I34/I9</f>
        <v/>
      </c>
      <c r="J30" s="60">
        <f>'Segment Build'!J34/J9</f>
        <v/>
      </c>
    </row>
  </sheetData>
  <pageMargins left="0.75" right="0.75" top="1" bottom="1" header="0.5" footer="0.5"/>
</worksheet>
</file>

<file path=xl/worksheets/sheet8.xml><?xml version="1.0" encoding="utf-8"?>
<worksheet xmlns="http://schemas.openxmlformats.org/spreadsheetml/2006/main">
  <sheetPr>
    <tabColor rgb="002E5A7A"/>
    <outlinePr summaryBelow="1" summaryRight="1"/>
    <pageSetUpPr/>
  </sheetPr>
  <dimension ref="B2:L31"/>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44" customWidth="1" min="2" max="2"/>
    <col width="12.6" customWidth="1" min="3" max="3"/>
    <col width="12.6" customWidth="1" min="4" max="4"/>
    <col width="12.6" customWidth="1" min="5" max="5"/>
    <col width="12.6" customWidth="1" min="6" max="6"/>
    <col width="12.6" customWidth="1" min="7" max="7"/>
    <col width="12.6" customWidth="1" min="8" max="8"/>
    <col width="12.6" customWidth="1" min="9" max="9"/>
    <col width="12.6" customWidth="1" min="10" max="10"/>
    <col width="2.2" customWidth="1" min="11" max="11"/>
    <col width="62" customWidth="1" min="12" max="12"/>
  </cols>
  <sheetData>
    <row r="2" ht="21" customHeight="1">
      <c r="B2" s="1" t="inlineStr">
        <is>
          <t>Cash Flow Statement</t>
        </is>
      </c>
    </row>
    <row r="3">
      <c r="B3" s="2" t="inlineStr">
        <is>
          <t>$ in thousands. 2023–2025 operating cash flow as filed. Projected operating cash flow is built from the balance sheet, which is why growth shows up as a cash cost.</t>
        </is>
      </c>
    </row>
    <row r="5" ht="18" customHeight="1">
      <c r="B5" s="36" t="inlineStr">
        <is>
          <t>($ in thousands unless noted)</t>
        </is>
      </c>
      <c r="C5" s="37" t="inlineStr">
        <is>
          <t>2023A</t>
        </is>
      </c>
      <c r="D5" s="37" t="inlineStr">
        <is>
          <t>2024A</t>
        </is>
      </c>
      <c r="E5" s="37" t="inlineStr">
        <is>
          <t>2025A</t>
        </is>
      </c>
      <c r="F5" s="37" t="inlineStr">
        <is>
          <t>2026E</t>
        </is>
      </c>
      <c r="G5" s="37" t="inlineStr">
        <is>
          <t>2027E</t>
        </is>
      </c>
      <c r="H5" s="37" t="inlineStr">
        <is>
          <t>2028E</t>
        </is>
      </c>
      <c r="I5" s="37" t="inlineStr">
        <is>
          <t>2029E</t>
        </is>
      </c>
      <c r="J5" s="37" t="inlineStr">
        <is>
          <t>2030E</t>
        </is>
      </c>
    </row>
    <row r="6" ht="6" customHeight="1"/>
    <row r="7" ht="15.5" customHeight="1">
      <c r="B7" s="3" t="inlineStr">
        <is>
          <t>OPERATING ACTIVITIES</t>
        </is>
      </c>
      <c r="C7" s="3" t="n"/>
      <c r="D7" s="3" t="n"/>
      <c r="E7" s="3" t="n"/>
      <c r="F7" s="3" t="n"/>
      <c r="G7" s="3" t="n"/>
      <c r="H7" s="3" t="n"/>
      <c r="I7" s="3" t="n"/>
      <c r="J7" s="3" t="n"/>
    </row>
    <row r="8">
      <c r="B8" s="38" t="inlineStr">
        <is>
          <t>Net income</t>
        </is>
      </c>
      <c r="C8" s="51">
        <f>IS!C32</f>
        <v/>
      </c>
      <c r="D8" s="51">
        <f>IS!D32</f>
        <v/>
      </c>
      <c r="E8" s="51">
        <f>IS!E32</f>
        <v/>
      </c>
      <c r="F8" s="51">
        <f>IS!F32</f>
        <v/>
      </c>
      <c r="G8" s="51">
        <f>IS!G32</f>
        <v/>
      </c>
      <c r="H8" s="51">
        <f>IS!H32</f>
        <v/>
      </c>
      <c r="I8" s="51">
        <f>IS!I32</f>
        <v/>
      </c>
      <c r="J8" s="51">
        <f>IS!J32</f>
        <v/>
      </c>
    </row>
    <row r="9">
      <c r="B9" s="38" t="inlineStr">
        <is>
          <t>Depreciation and amortisation</t>
        </is>
      </c>
      <c r="C9" s="13">
        <f>Historicals!C59</f>
        <v/>
      </c>
      <c r="D9" s="13">
        <f>Historicals!D59</f>
        <v/>
      </c>
      <c r="E9" s="13">
        <f>Historicals!E59</f>
        <v/>
      </c>
      <c r="F9" s="13">
        <f>Assumptions!F45</f>
        <v/>
      </c>
      <c r="G9" s="13">
        <f>Assumptions!G45</f>
        <v/>
      </c>
      <c r="H9" s="13">
        <f>Assumptions!H45</f>
        <v/>
      </c>
      <c r="I9" s="13">
        <f>Assumptions!I45</f>
        <v/>
      </c>
      <c r="J9" s="13">
        <f>Assumptions!J45</f>
        <v/>
      </c>
    </row>
    <row r="10">
      <c r="B10" s="38" t="inlineStr">
        <is>
          <t>Stock-based compensation</t>
        </is>
      </c>
      <c r="C10" s="13">
        <f>Historicals!C60</f>
        <v/>
      </c>
      <c r="D10" s="13">
        <f>Historicals!D60</f>
        <v/>
      </c>
      <c r="E10" s="13">
        <f>Historicals!E60</f>
        <v/>
      </c>
      <c r="F10" s="13">
        <f>Assumptions!F46</f>
        <v/>
      </c>
      <c r="G10" s="13">
        <f>Assumptions!G46</f>
        <v/>
      </c>
      <c r="H10" s="13">
        <f>Assumptions!H46</f>
        <v/>
      </c>
      <c r="I10" s="13">
        <f>Assumptions!I46</f>
        <v/>
      </c>
      <c r="J10" s="13">
        <f>Assumptions!J46</f>
        <v/>
      </c>
    </row>
    <row r="11">
      <c r="B11" s="38" t="inlineStr">
        <is>
          <t>(Increase) / decrease in inventory</t>
        </is>
      </c>
      <c r="F11" s="13">
        <f>-(BS!F9-BS!E9)</f>
        <v/>
      </c>
      <c r="G11" s="13">
        <f>-(BS!G9-BS!F9)</f>
        <v/>
      </c>
      <c r="H11" s="13">
        <f>-(BS!H9-BS!G9)</f>
        <v/>
      </c>
      <c r="I11" s="13">
        <f>-(BS!I9-BS!H9)</f>
        <v/>
      </c>
      <c r="J11" s="13">
        <f>-(BS!J9-BS!I9)</f>
        <v/>
      </c>
      <c r="L11" s="9" t="inlineStr">
        <is>
          <t>Land and work-in-process. This is where the earnings recovery goes.</t>
        </is>
      </c>
    </row>
    <row r="12">
      <c r="B12" s="38" t="inlineStr">
        <is>
          <t>(Increase) / decrease in other operating assets</t>
        </is>
      </c>
      <c r="F12" s="13">
        <f>-(BS!F11-BS!E11)</f>
        <v/>
      </c>
      <c r="G12" s="13">
        <f>-(BS!G11-BS!F11)</f>
        <v/>
      </c>
      <c r="H12" s="13">
        <f>-(BS!H11-BS!G11)</f>
        <v/>
      </c>
      <c r="I12" s="13">
        <f>-(BS!I11-BS!H11)</f>
        <v/>
      </c>
      <c r="J12" s="13">
        <f>-(BS!J11-BS!I11)</f>
        <v/>
      </c>
    </row>
    <row r="13">
      <c r="B13" s="38" t="inlineStr">
        <is>
          <t>Increase / (decrease) in other liabilities</t>
        </is>
      </c>
      <c r="F13" s="13">
        <f>BS!F17-BS!E17</f>
        <v/>
      </c>
      <c r="G13" s="13">
        <f>BS!G17-BS!F17</f>
        <v/>
      </c>
      <c r="H13" s="13">
        <f>BS!H17-BS!G17</f>
        <v/>
      </c>
      <c r="I13" s="13">
        <f>BS!I17-BS!H17</f>
        <v/>
      </c>
      <c r="J13" s="13">
        <f>BS!J17-BS!I17</f>
        <v/>
      </c>
    </row>
    <row r="14">
      <c r="B14" s="44" t="inlineStr">
        <is>
          <t>CASH FROM OPERATING ACTIVITIES</t>
        </is>
      </c>
      <c r="C14" s="45">
        <f>Historicals!C58</f>
        <v/>
      </c>
      <c r="D14" s="45">
        <f>Historicals!D58</f>
        <v/>
      </c>
      <c r="E14" s="45">
        <f>Historicals!E58</f>
        <v/>
      </c>
      <c r="F14" s="45">
        <f>SUM(F8:F13)</f>
        <v/>
      </c>
      <c r="G14" s="45">
        <f>SUM(G8:G13)</f>
        <v/>
      </c>
      <c r="H14" s="45">
        <f>SUM(H8:H13)</f>
        <v/>
      </c>
      <c r="I14" s="45">
        <f>SUM(I8:I13)</f>
        <v/>
      </c>
      <c r="J14" s="45">
        <f>SUM(J8:J13)</f>
        <v/>
      </c>
    </row>
    <row r="15" ht="6" customHeight="1"/>
    <row r="16" ht="15.5" customHeight="1">
      <c r="B16" s="3" t="inlineStr">
        <is>
          <t>INVESTING ACTIVITIES</t>
        </is>
      </c>
      <c r="C16" s="3" t="n"/>
      <c r="D16" s="3" t="n"/>
      <c r="E16" s="3" t="n"/>
      <c r="F16" s="3" t="n"/>
      <c r="G16" s="3" t="n"/>
      <c r="H16" s="3" t="n"/>
      <c r="I16" s="3" t="n"/>
      <c r="J16" s="3" t="n"/>
    </row>
    <row r="17">
      <c r="B17" s="38" t="inlineStr">
        <is>
          <t>Capital expenditure</t>
        </is>
      </c>
      <c r="C17" s="13">
        <f>-Historicals!C61</f>
        <v/>
      </c>
      <c r="D17" s="13">
        <f>-Historicals!D61</f>
        <v/>
      </c>
      <c r="E17" s="13">
        <f>-Historicals!E61</f>
        <v/>
      </c>
      <c r="F17" s="13">
        <f>-Assumptions!F44</f>
        <v/>
      </c>
      <c r="G17" s="13">
        <f>-Assumptions!G44</f>
        <v/>
      </c>
      <c r="H17" s="13">
        <f>-Assumptions!H44</f>
        <v/>
      </c>
      <c r="I17" s="13">
        <f>-Assumptions!I44</f>
        <v/>
      </c>
      <c r="J17" s="13">
        <f>-Assumptions!J44</f>
        <v/>
      </c>
    </row>
    <row r="18">
      <c r="B18" s="44" t="inlineStr">
        <is>
          <t>CASH FROM INVESTING ACTIVITIES</t>
        </is>
      </c>
      <c r="C18" s="45">
        <f>C17</f>
        <v/>
      </c>
      <c r="D18" s="45">
        <f>D17</f>
        <v/>
      </c>
      <c r="E18" s="45">
        <f>E17</f>
        <v/>
      </c>
      <c r="F18" s="45">
        <f>F17</f>
        <v/>
      </c>
      <c r="G18" s="45">
        <f>G17</f>
        <v/>
      </c>
      <c r="H18" s="45">
        <f>H17</f>
        <v/>
      </c>
      <c r="I18" s="45">
        <f>I17</f>
        <v/>
      </c>
      <c r="J18" s="45">
        <f>J17</f>
        <v/>
      </c>
    </row>
    <row r="19" ht="6" customHeight="1"/>
    <row r="20" ht="15.5" customHeight="1">
      <c r="B20" s="3" t="inlineStr">
        <is>
          <t>FINANCING ACTIVITIES</t>
        </is>
      </c>
      <c r="C20" s="3" t="n"/>
      <c r="D20" s="3" t="n"/>
      <c r="E20" s="3" t="n"/>
      <c r="F20" s="3" t="n"/>
      <c r="G20" s="3" t="n"/>
      <c r="H20" s="3" t="n"/>
      <c r="I20" s="3" t="n"/>
      <c r="J20" s="3" t="n"/>
    </row>
    <row r="21">
      <c r="B21" s="38" t="inlineStr">
        <is>
          <t>Net change in debt</t>
        </is>
      </c>
      <c r="F21" s="13">
        <f>(BS!F15+BS!F16)-(BS!E15+BS!E16)</f>
        <v/>
      </c>
      <c r="G21" s="13">
        <f>(BS!G15+BS!G16)-(BS!F15+BS!F16)</f>
        <v/>
      </c>
      <c r="H21" s="13">
        <f>(BS!H15+BS!H16)-(BS!G15+BS!G16)</f>
        <v/>
      </c>
      <c r="I21" s="13">
        <f>(BS!I15+BS!I16)-(BS!H15+BS!H16)</f>
        <v/>
      </c>
      <c r="J21" s="13">
        <f>(BS!J15+BS!J16)-(BS!I15+BS!I16)</f>
        <v/>
      </c>
    </row>
    <row r="22">
      <c r="B22" s="38" t="inlineStr">
        <is>
          <t>Share repurchases</t>
        </is>
      </c>
      <c r="C22" s="13">
        <f>-Historicals!C62</f>
        <v/>
      </c>
      <c r="D22" s="13">
        <f>-Historicals!D62</f>
        <v/>
      </c>
      <c r="E22" s="13">
        <f>-Historicals!E62</f>
        <v/>
      </c>
      <c r="F22" s="13">
        <f>-Assumptions!F47</f>
        <v/>
      </c>
      <c r="G22" s="13">
        <f>-Assumptions!G47</f>
        <v/>
      </c>
      <c r="H22" s="13">
        <f>-Assumptions!H47</f>
        <v/>
      </c>
      <c r="I22" s="13">
        <f>-Assumptions!I47</f>
        <v/>
      </c>
      <c r="J22" s="13">
        <f>-Assumptions!J47</f>
        <v/>
      </c>
      <c r="L22" s="9" t="inlineStr">
        <is>
          <t>$202m in 2025 — 5.4% of the market cap, and the main way shareholders get paid. MHO pays no dividend.</t>
        </is>
      </c>
    </row>
    <row r="23">
      <c r="B23" s="44" t="inlineStr">
        <is>
          <t>CASH FROM FINANCING ACTIVITIES</t>
        </is>
      </c>
      <c r="C23" s="19" t="n"/>
      <c r="D23" s="19" t="n"/>
      <c r="E23" s="19" t="n"/>
      <c r="F23" s="45">
        <f>F21+F22</f>
        <v/>
      </c>
      <c r="G23" s="45">
        <f>G21+G22</f>
        <v/>
      </c>
      <c r="H23" s="45">
        <f>H21+H22</f>
        <v/>
      </c>
      <c r="I23" s="45">
        <f>I21+I22</f>
        <v/>
      </c>
      <c r="J23" s="45">
        <f>J21+J22</f>
        <v/>
      </c>
    </row>
    <row r="24" ht="6" customHeight="1"/>
    <row r="25">
      <c r="B25" s="44" t="inlineStr">
        <is>
          <t>Net change in cash</t>
        </is>
      </c>
      <c r="C25" s="19" t="n"/>
      <c r="D25" s="19" t="n"/>
      <c r="E25" s="19" t="n"/>
      <c r="F25" s="45">
        <f>F14+F18+F23</f>
        <v/>
      </c>
      <c r="G25" s="45">
        <f>G14+G18+G23</f>
        <v/>
      </c>
      <c r="H25" s="45">
        <f>H14+H18+H23</f>
        <v/>
      </c>
      <c r="I25" s="45">
        <f>I14+I18+I23</f>
        <v/>
      </c>
      <c r="J25" s="45">
        <f>J14+J18+J23</f>
        <v/>
      </c>
    </row>
    <row r="26">
      <c r="B26" s="38" t="inlineStr">
        <is>
          <t>Cash, beginning of period</t>
        </is>
      </c>
      <c r="F26" s="13">
        <f>Historicals!E52</f>
        <v/>
      </c>
      <c r="G26" s="13">
        <f>F27</f>
        <v/>
      </c>
      <c r="H26" s="13">
        <f>G27</f>
        <v/>
      </c>
      <c r="I26" s="13">
        <f>H27</f>
        <v/>
      </c>
      <c r="J26" s="13">
        <f>I27</f>
        <v/>
      </c>
    </row>
    <row r="27">
      <c r="B27" s="44" t="inlineStr">
        <is>
          <t>CASH, END OF PERIOD</t>
        </is>
      </c>
      <c r="C27" s="45">
        <f>Historicals!C52</f>
        <v/>
      </c>
      <c r="D27" s="45">
        <f>Historicals!D52</f>
        <v/>
      </c>
      <c r="E27" s="45">
        <f>Historicals!E52</f>
        <v/>
      </c>
      <c r="F27" s="45">
        <f>F26+F25</f>
        <v/>
      </c>
      <c r="G27" s="45">
        <f>G26+G25</f>
        <v/>
      </c>
      <c r="H27" s="45">
        <f>H26+H25</f>
        <v/>
      </c>
      <c r="I27" s="45">
        <f>I26+I25</f>
        <v/>
      </c>
      <c r="J27" s="45">
        <f>J26+J25</f>
        <v/>
      </c>
    </row>
    <row r="28" ht="6" customHeight="1"/>
    <row r="29" ht="15.5" customHeight="1">
      <c r="B29" s="3" t="inlineStr">
        <is>
          <t>MEMO — FREE CASH FLOW</t>
        </is>
      </c>
      <c r="C29" s="3" t="n"/>
      <c r="D29" s="3" t="n"/>
      <c r="E29" s="3" t="n"/>
      <c r="F29" s="3" t="n"/>
      <c r="G29" s="3" t="n"/>
      <c r="H29" s="3" t="n"/>
      <c r="I29" s="3" t="n"/>
      <c r="J29" s="3" t="n"/>
    </row>
    <row r="30">
      <c r="B30" s="49" t="inlineStr">
        <is>
          <t>Operating cash flow less capex</t>
        </is>
      </c>
      <c r="C30" s="58">
        <f>C14+C18</f>
        <v/>
      </c>
      <c r="D30" s="58">
        <f>D14+D18</f>
        <v/>
      </c>
      <c r="E30" s="58">
        <f>E14+E18</f>
        <v/>
      </c>
      <c r="F30" s="58">
        <f>F14+F18</f>
        <v/>
      </c>
      <c r="G30" s="58">
        <f>G14+G18</f>
        <v/>
      </c>
      <c r="H30" s="58">
        <f>H14+H18</f>
        <v/>
      </c>
      <c r="I30" s="58">
        <f>I14+I18</f>
        <v/>
      </c>
      <c r="J30" s="58">
        <f>J14+J18</f>
        <v/>
      </c>
    </row>
    <row r="31">
      <c r="B31" s="46" t="inlineStr">
        <is>
          <t xml:space="preserve">   as % of net income</t>
        </is>
      </c>
      <c r="C31" s="16">
        <f>C30/C8</f>
        <v/>
      </c>
      <c r="D31" s="16">
        <f>D30/D8</f>
        <v/>
      </c>
      <c r="E31" s="16">
        <f>E30/E8</f>
        <v/>
      </c>
      <c r="F31" s="16">
        <f>F30/F8</f>
        <v/>
      </c>
      <c r="G31" s="16">
        <f>G30/G8</f>
        <v/>
      </c>
      <c r="H31" s="16">
        <f>H30/H8</f>
        <v/>
      </c>
      <c r="I31" s="16">
        <f>I30/I8</f>
        <v/>
      </c>
      <c r="J31" s="16">
        <f>J30/J8</f>
        <v/>
      </c>
      <c r="L31" s="9" t="inlineStr">
        <is>
          <t>Conversion is poor whenever the land pipeline is growing. It was 119% in 2023 when MHO stopped buying land, and 34% in 2025.</t>
        </is>
      </c>
    </row>
  </sheetData>
  <pageMargins left="0.75" right="0.75" top="1" bottom="1" header="0.5" footer="0.5"/>
</worksheet>
</file>

<file path=xl/worksheets/sheet9.xml><?xml version="1.0" encoding="utf-8"?>
<worksheet xmlns="http://schemas.openxmlformats.org/spreadsheetml/2006/main">
  <sheetPr>
    <tabColor rgb="007A5C2E"/>
    <outlinePr summaryBelow="1" summaryRight="1"/>
    <pageSetUpPr/>
  </sheetPr>
  <dimension ref="B2:L53"/>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46" customWidth="1" min="2" max="2"/>
    <col width="12.6" customWidth="1" min="3" max="3"/>
    <col width="12.6" customWidth="1" min="4" max="4"/>
    <col width="12.6" customWidth="1" min="5" max="5"/>
    <col width="12.6" customWidth="1" min="6" max="6"/>
    <col width="12.6" customWidth="1" min="7" max="7"/>
    <col width="12.6" customWidth="1" min="8" max="8"/>
    <col width="12.6" customWidth="1" min="9" max="9"/>
    <col width="12.6" customWidth="1" min="10" max="10"/>
    <col width="2.2" customWidth="1" min="11" max="11"/>
    <col width="62" customWidth="1" min="12" max="12"/>
  </cols>
  <sheetData>
    <row r="2" ht="21" customHeight="1">
      <c r="B2" s="1" t="inlineStr">
        <is>
          <t>Discounted Cash Flow</t>
        </is>
      </c>
    </row>
    <row r="3">
      <c r="B3" s="2" t="inlineStr">
        <is>
          <t>Unlevered free cash flow, valued at 30-Sep-2026 with a mid-year convention. 2026E is included at one quarter (Q4 only).</t>
        </is>
      </c>
    </row>
    <row r="5" ht="15.5" customHeight="1">
      <c r="B5" s="3" t="inlineStr">
        <is>
          <t>COST OF CAPITAL</t>
        </is>
      </c>
      <c r="C5" s="3" t="n"/>
      <c r="D5" s="3" t="n"/>
      <c r="E5" s="3" t="n"/>
      <c r="F5" s="3" t="n"/>
      <c r="G5" s="3" t="n"/>
      <c r="H5" s="3" t="n"/>
      <c r="I5" s="3" t="n"/>
      <c r="J5" s="3" t="n"/>
    </row>
    <row r="6">
      <c r="B6" s="10" t="inlineStr">
        <is>
          <t>Risk-free rate — 10-yr UST</t>
        </is>
      </c>
      <c r="C6" s="52">
        <f>Assumptions!$C$55</f>
        <v/>
      </c>
    </row>
    <row r="7">
      <c r="B7" s="10" t="inlineStr">
        <is>
          <t>Equity risk premium</t>
        </is>
      </c>
      <c r="C7" s="52">
        <f>Assumptions!$C$56</f>
        <v/>
      </c>
    </row>
    <row r="8">
      <c r="B8" s="10" t="inlineStr">
        <is>
          <t>Levered beta</t>
        </is>
      </c>
      <c r="C8" s="50">
        <f>Assumptions!$C$57</f>
        <v/>
      </c>
    </row>
    <row r="9">
      <c r="B9" s="6" t="inlineStr">
        <is>
          <t>Cost of equity</t>
        </is>
      </c>
      <c r="C9" s="61">
        <f>C6+C8*C7</f>
        <v/>
      </c>
    </row>
    <row r="10">
      <c r="B10" s="10" t="inlineStr">
        <is>
          <t>Pre-tax cost of debt</t>
        </is>
      </c>
      <c r="C10" s="52">
        <f>Assumptions!$C$58</f>
        <v/>
      </c>
    </row>
    <row r="11">
      <c r="B11" s="10" t="inlineStr">
        <is>
          <t>After-tax cost of debt</t>
        </is>
      </c>
      <c r="C11" s="52">
        <f>C10*(1-Assumptions!$C$38/100)</f>
        <v/>
      </c>
    </row>
    <row r="12">
      <c r="B12" s="10" t="inlineStr">
        <is>
          <t>Market capitalisation</t>
        </is>
      </c>
      <c r="C12" s="13">
        <f>Assumptions!$C$60*Assumptions!$C$61</f>
        <v/>
      </c>
      <c r="L12" s="2" t="inlineStr">
        <is>
          <t>Price x shares outstanding.</t>
        </is>
      </c>
    </row>
    <row r="13">
      <c r="B13" s="10" t="inlineStr">
        <is>
          <t>Homebuilding debt</t>
        </is>
      </c>
      <c r="C13" s="13">
        <f>BS!E15</f>
        <v/>
      </c>
      <c r="L13" s="2" t="inlineStr">
        <is>
          <t>Warehouse debt excluded — it is operating, not capital-structure, debt.</t>
        </is>
      </c>
    </row>
    <row r="14">
      <c r="B14" s="10" t="inlineStr">
        <is>
          <t>Weight of equity</t>
        </is>
      </c>
      <c r="C14" s="16">
        <f>C12/(C12+C13)</f>
        <v/>
      </c>
    </row>
    <row r="15">
      <c r="B15" s="10" t="inlineStr">
        <is>
          <t>Weight of debt</t>
        </is>
      </c>
      <c r="C15" s="16">
        <f>C13/(C12+C13)</f>
        <v/>
      </c>
    </row>
    <row r="16">
      <c r="B16" s="6" t="inlineStr">
        <is>
          <t>WACC</t>
        </is>
      </c>
      <c r="C16" s="61">
        <f>C14*C9+C15*C11</f>
        <v/>
      </c>
    </row>
    <row r="17">
      <c r="B17" s="10" t="inlineStr">
        <is>
          <t>Terminal growth rate</t>
        </is>
      </c>
      <c r="C17" s="52">
        <f>Assumptions!$C$59</f>
        <v/>
      </c>
    </row>
    <row r="18" ht="6" customHeight="1"/>
    <row r="19" ht="15.5" customHeight="1">
      <c r="B19" s="3" t="inlineStr">
        <is>
          <t>UNLEVERED FREE CASH FLOW</t>
        </is>
      </c>
      <c r="C19" s="3" t="n"/>
      <c r="D19" s="3" t="n"/>
      <c r="E19" s="3" t="n"/>
      <c r="F19" s="3" t="n"/>
      <c r="G19" s="3" t="n"/>
      <c r="H19" s="3" t="n"/>
      <c r="I19" s="3" t="n"/>
      <c r="J19" s="3" t="n"/>
    </row>
    <row r="20">
      <c r="B20" s="36" t="inlineStr">
        <is>
          <t>($ in thousands)</t>
        </is>
      </c>
      <c r="C20" s="62" t="n"/>
      <c r="D20" s="62" t="n"/>
      <c r="E20" s="62" t="n"/>
      <c r="F20" s="33" t="inlineStr">
        <is>
          <t>2026E</t>
        </is>
      </c>
      <c r="G20" s="33" t="inlineStr">
        <is>
          <t>2027E</t>
        </is>
      </c>
      <c r="H20" s="33" t="inlineStr">
        <is>
          <t>2028E</t>
        </is>
      </c>
      <c r="I20" s="33" t="inlineStr">
        <is>
          <t>2029E</t>
        </is>
      </c>
      <c r="J20" s="33" t="inlineStr">
        <is>
          <t>2030E</t>
        </is>
      </c>
    </row>
    <row r="21">
      <c r="B21" s="38" t="inlineStr">
        <is>
          <t>EBIT (operating income)</t>
        </is>
      </c>
      <c r="F21" s="51">
        <f>IS!F26</f>
        <v/>
      </c>
      <c r="G21" s="51">
        <f>IS!G26</f>
        <v/>
      </c>
      <c r="H21" s="51">
        <f>IS!H26</f>
        <v/>
      </c>
      <c r="I21" s="51">
        <f>IS!I26</f>
        <v/>
      </c>
      <c r="J21" s="51">
        <f>IS!J26</f>
        <v/>
      </c>
    </row>
    <row r="22">
      <c r="B22" s="38" t="inlineStr">
        <is>
          <t>Cash taxes on EBIT</t>
        </is>
      </c>
      <c r="F22" s="13">
        <f>-F21*Assumptions!$C$38/100</f>
        <v/>
      </c>
      <c r="G22" s="13">
        <f>-G21*Assumptions!$C$38/100</f>
        <v/>
      </c>
      <c r="H22" s="13">
        <f>-H21*Assumptions!$C$38/100</f>
        <v/>
      </c>
      <c r="I22" s="13">
        <f>-I21*Assumptions!$C$38/100</f>
        <v/>
      </c>
      <c r="J22" s="13">
        <f>-J21*Assumptions!$C$38/100</f>
        <v/>
      </c>
    </row>
    <row r="23">
      <c r="B23" s="44" t="inlineStr">
        <is>
          <t>NOPAT</t>
        </is>
      </c>
      <c r="F23" s="45">
        <f>F21+F22</f>
        <v/>
      </c>
      <c r="G23" s="45">
        <f>G21+G22</f>
        <v/>
      </c>
      <c r="H23" s="45">
        <f>H21+H22</f>
        <v/>
      </c>
      <c r="I23" s="45">
        <f>I21+I22</f>
        <v/>
      </c>
      <c r="J23" s="45">
        <f>J21+J22</f>
        <v/>
      </c>
    </row>
    <row r="24">
      <c r="B24" s="38" t="inlineStr">
        <is>
          <t>Add: depreciation and amortisation</t>
        </is>
      </c>
      <c r="F24" s="13">
        <f>Assumptions!F45</f>
        <v/>
      </c>
      <c r="G24" s="13">
        <f>Assumptions!G45</f>
        <v/>
      </c>
      <c r="H24" s="13">
        <f>Assumptions!H45</f>
        <v/>
      </c>
      <c r="I24" s="13">
        <f>Assumptions!I45</f>
        <v/>
      </c>
      <c r="J24" s="13">
        <f>Assumptions!J45</f>
        <v/>
      </c>
    </row>
    <row r="25">
      <c r="B25" s="38" t="inlineStr">
        <is>
          <t>Less: capital expenditure</t>
        </is>
      </c>
      <c r="F25" s="13">
        <f>-Assumptions!F44</f>
        <v/>
      </c>
      <c r="G25" s="13">
        <f>-Assumptions!G44</f>
        <v/>
      </c>
      <c r="H25" s="13">
        <f>-Assumptions!H44</f>
        <v/>
      </c>
      <c r="I25" s="13">
        <f>-Assumptions!I44</f>
        <v/>
      </c>
      <c r="J25" s="13">
        <f>-Assumptions!J44</f>
        <v/>
      </c>
    </row>
    <row r="26">
      <c r="B26" s="38" t="inlineStr">
        <is>
          <t>Less: stock-based compensation</t>
        </is>
      </c>
      <c r="F26" s="13">
        <f>-Assumptions!F46</f>
        <v/>
      </c>
      <c r="G26" s="13">
        <f>-Assumptions!G46</f>
        <v/>
      </c>
      <c r="H26" s="13">
        <f>-Assumptions!H46</f>
        <v/>
      </c>
      <c r="I26" s="13">
        <f>-Assumptions!I46</f>
        <v/>
      </c>
      <c r="J26" s="13">
        <f>-Assumptions!J46</f>
        <v/>
      </c>
      <c r="L26" s="9" t="inlineStr">
        <is>
          <t>Treated as a real economic cost. Excluding it would add roughly $6 per share.</t>
        </is>
      </c>
    </row>
    <row r="27">
      <c r="B27" s="38" t="inlineStr">
        <is>
          <t>Net working capital (inventory + other assets − other liabilities)</t>
        </is>
      </c>
      <c r="E27" s="13">
        <f>BS!E9+BS!E11-BS!E17</f>
        <v/>
      </c>
      <c r="F27" s="13">
        <f>BS!F9+BS!F11-BS!F17</f>
        <v/>
      </c>
      <c r="G27" s="13">
        <f>BS!G9+BS!G11-BS!G17</f>
        <v/>
      </c>
      <c r="H27" s="13">
        <f>BS!H9+BS!H11-BS!H17</f>
        <v/>
      </c>
      <c r="I27" s="13">
        <f>BS!I9+BS!I11-BS!I17</f>
        <v/>
      </c>
      <c r="J27" s="13">
        <f>BS!J9+BS!J11-BS!J17</f>
        <v/>
      </c>
    </row>
    <row r="28">
      <c r="B28" s="38" t="inlineStr">
        <is>
          <t>Less: increase in net working capital</t>
        </is>
      </c>
      <c r="F28" s="13">
        <f>-(F27-E27)</f>
        <v/>
      </c>
      <c r="G28" s="13">
        <f>-(G27-F27)</f>
        <v/>
      </c>
      <c r="H28" s="13">
        <f>-(H27-G27)</f>
        <v/>
      </c>
      <c r="I28" s="13">
        <f>-(I27-H27)</f>
        <v/>
      </c>
      <c r="J28" s="13">
        <f>-(J27-I27)</f>
        <v/>
      </c>
      <c r="L28" s="9" t="inlineStr">
        <is>
          <t>The heart of the matter. Land absorbs $185–235m a year once deliveries start growing again.</t>
        </is>
      </c>
    </row>
    <row r="29">
      <c r="B29" s="44" t="inlineStr">
        <is>
          <t>UNLEVERED FREE CASH FLOW</t>
        </is>
      </c>
      <c r="F29" s="45">
        <f>F23+F24+F25+F26+F28</f>
        <v/>
      </c>
      <c r="G29" s="45">
        <f>G23+G24+G25+G26+G28</f>
        <v/>
      </c>
      <c r="H29" s="45">
        <f>H23+H24+H25+H26+H28</f>
        <v/>
      </c>
      <c r="I29" s="45">
        <f>I23+I24+I25+I26+I28</f>
        <v/>
      </c>
      <c r="J29" s="45">
        <f>J23+J24+J25+J26+J28</f>
        <v/>
      </c>
    </row>
    <row r="30">
      <c r="B30" s="38" t="inlineStr">
        <is>
          <t>Period weight (2026E = Q4 only)</t>
        </is>
      </c>
      <c r="F30" s="40" t="n">
        <v>0.25</v>
      </c>
      <c r="G30" s="40" t="n">
        <v>1</v>
      </c>
      <c r="H30" s="40" t="n">
        <v>1</v>
      </c>
      <c r="I30" s="40" t="n">
        <v>1</v>
      </c>
      <c r="J30" s="40" t="n">
        <v>1</v>
      </c>
    </row>
    <row r="31">
      <c r="B31" s="38" t="inlineStr">
        <is>
          <t>Discount period (mid-year)</t>
        </is>
      </c>
      <c r="F31" s="40" t="n">
        <v>0.125</v>
      </c>
      <c r="G31" s="40" t="n">
        <v>0.75</v>
      </c>
      <c r="H31" s="40" t="n">
        <v>1.75</v>
      </c>
      <c r="I31" s="40" t="n">
        <v>2.75</v>
      </c>
      <c r="J31" s="40" t="n">
        <v>3.75</v>
      </c>
    </row>
    <row r="32">
      <c r="B32" s="38" t="inlineStr">
        <is>
          <t>Discount factor</t>
        </is>
      </c>
      <c r="F32" s="63">
        <f>1/(1+$C$16/100)^F31</f>
        <v/>
      </c>
      <c r="G32" s="63">
        <f>1/(1+$C$16/100)^G31</f>
        <v/>
      </c>
      <c r="H32" s="63">
        <f>1/(1+$C$16/100)^H31</f>
        <v/>
      </c>
      <c r="I32" s="63">
        <f>1/(1+$C$16/100)^I31</f>
        <v/>
      </c>
      <c r="J32" s="63">
        <f>1/(1+$C$16/100)^J31</f>
        <v/>
      </c>
    </row>
    <row r="33">
      <c r="B33" s="44" t="inlineStr">
        <is>
          <t>Present value of free cash flow</t>
        </is>
      </c>
      <c r="F33" s="45">
        <f>F29*F30*F32</f>
        <v/>
      </c>
      <c r="G33" s="45">
        <f>G29*G30*G32</f>
        <v/>
      </c>
      <c r="H33" s="45">
        <f>H29*H30*H32</f>
        <v/>
      </c>
      <c r="I33" s="45">
        <f>I29*I30*I32</f>
        <v/>
      </c>
      <c r="J33" s="45">
        <f>J29*J30*J32</f>
        <v/>
      </c>
    </row>
    <row r="34" ht="6" customHeight="1"/>
    <row r="35" ht="15.5" customHeight="1">
      <c r="B35" s="3" t="inlineStr">
        <is>
          <t>VALUE BRIDGE</t>
        </is>
      </c>
      <c r="C35" s="3" t="n"/>
      <c r="D35" s="3" t="n"/>
      <c r="E35" s="3" t="n"/>
      <c r="F35" s="3" t="n"/>
      <c r="G35" s="3" t="n"/>
      <c r="H35" s="3" t="n"/>
      <c r="I35" s="3" t="n"/>
      <c r="J35" s="3" t="n"/>
    </row>
    <row r="36">
      <c r="B36" s="10" t="inlineStr">
        <is>
          <t>Sum of present values, 2026E–2030E</t>
        </is>
      </c>
      <c r="C36" s="13">
        <f>SUM(F33:J33)</f>
        <v/>
      </c>
    </row>
    <row r="37">
      <c r="B37" s="10" t="inlineStr">
        <is>
          <t>Terminal value at 31-Dec-2030</t>
        </is>
      </c>
      <c r="C37" s="13">
        <f>J29*(1+C17/100)/(C16/100-C17/100)</f>
        <v/>
      </c>
      <c r="L37" s="2" t="inlineStr">
        <is>
          <t>Gordon growth on 2030E free cash flow.</t>
        </is>
      </c>
    </row>
    <row r="38">
      <c r="B38" s="10" t="inlineStr">
        <is>
          <t>Present value of terminal value</t>
        </is>
      </c>
      <c r="C38" s="13">
        <f>C37/(1+C16/100)^4.25</f>
        <v/>
      </c>
    </row>
    <row r="39">
      <c r="B39" s="10" t="inlineStr">
        <is>
          <t>Terminal value as % of enterprise value</t>
        </is>
      </c>
      <c r="C39" s="16">
        <f>C38/(C36+C38)</f>
        <v/>
      </c>
      <c r="L39" s="2" t="inlineStr">
        <is>
          <t>High, as it always is for a cyclical with heavy near-term working capital investment. Treat the DCF as a discipline, not an oracle.</t>
        </is>
      </c>
    </row>
    <row r="40">
      <c r="B40" s="6" t="inlineStr">
        <is>
          <t>ENTERPRISE VALUE</t>
        </is>
      </c>
      <c r="C40" s="64">
        <f>C36+C38</f>
        <v/>
      </c>
    </row>
    <row r="41">
      <c r="B41" s="10" t="inlineStr">
        <is>
          <t>Less: net debt / (add: net cash)</t>
        </is>
      </c>
      <c r="C41" s="13">
        <f>BS!E15-737000</f>
        <v/>
      </c>
      <c r="L41" s="2" t="inlineStr">
        <is>
          <t>Homebuilding debt $696.9m less cash of $735.9m at 30-Jun-2026: MHO is in a net cash position.</t>
        </is>
      </c>
    </row>
    <row r="42">
      <c r="B42" s="6" t="inlineStr">
        <is>
          <t>EQUITY VALUE</t>
        </is>
      </c>
      <c r="C42" s="64">
        <f>C40-C41</f>
        <v/>
      </c>
    </row>
    <row r="43">
      <c r="B43" s="10" t="inlineStr">
        <is>
          <t>Shares outstanding (000)</t>
        </is>
      </c>
      <c r="C43" s="13">
        <f>Assumptions!$C$61</f>
        <v/>
      </c>
    </row>
    <row r="44">
      <c r="B44" s="6" t="inlineStr">
        <is>
          <t>DCF VALUE PER SHARE</t>
        </is>
      </c>
      <c r="C44" s="8">
        <f>C42/C43</f>
        <v/>
      </c>
    </row>
    <row r="45">
      <c r="B45" s="6" t="inlineStr">
        <is>
          <t>Upside / (downside) to current price</t>
        </is>
      </c>
      <c r="C45" s="65">
        <f>C44/Assumptions!$C$60-1</f>
        <v/>
      </c>
    </row>
    <row r="46" ht="6" customHeight="1"/>
    <row r="47" ht="15.5" customHeight="1">
      <c r="B47" s="3" t="inlineStr">
        <is>
          <t>SENSITIVITY — DCF value per share:  WACC (down) x terminal growth (across)</t>
        </is>
      </c>
      <c r="C47" s="3" t="n"/>
      <c r="D47" s="3" t="n"/>
      <c r="E47" s="3" t="n"/>
      <c r="F47" s="3" t="n"/>
      <c r="G47" s="3" t="n"/>
      <c r="H47" s="3" t="n"/>
      <c r="I47" s="3" t="n"/>
      <c r="J47" s="3" t="n"/>
    </row>
    <row r="48">
      <c r="B48" s="24" t="inlineStr">
        <is>
          <t>WACC  \  terminal growth</t>
        </is>
      </c>
      <c r="C48" s="66" t="n">
        <v>0.015</v>
      </c>
      <c r="D48" s="66" t="n">
        <v>0.02</v>
      </c>
      <c r="E48" s="66" t="n">
        <v>0.025</v>
      </c>
      <c r="F48" s="66" t="n">
        <v>0.03</v>
      </c>
      <c r="G48" s="66" t="n">
        <v>0.035</v>
      </c>
    </row>
    <row r="49">
      <c r="B49" s="67">
        <f>$C$16+-1.0</f>
        <v/>
      </c>
      <c r="C49" s="68">
        <f>(F$29*F$30/(1+$B$49/100)^F$31+G$29*G$30/(1+$B$49/100)^G$31+H$29*H$30/(1+$B$49/100)^H$31+I$29*I$30/(1+$B$49/100)^I$31+J$29*J$30/(1+$B$49/100)^J$31+J$29*(1+C$48)/($B$49/100-C$48)/(1+$B$49/100)^4.25-$C$41)/$C$43</f>
        <v/>
      </c>
      <c r="D49" s="68">
        <f>(F$29*F$30/(1+$B$49/100)^F$31+G$29*G$30/(1+$B$49/100)^G$31+H$29*H$30/(1+$B$49/100)^H$31+I$29*I$30/(1+$B$49/100)^I$31+J$29*J$30/(1+$B$49/100)^J$31+J$29*(1+D$48)/($B$49/100-D$48)/(1+$B$49/100)^4.25-$C$41)/$C$43</f>
        <v/>
      </c>
      <c r="E49" s="68">
        <f>(F$29*F$30/(1+$B$49/100)^F$31+G$29*G$30/(1+$B$49/100)^G$31+H$29*H$30/(1+$B$49/100)^H$31+I$29*I$30/(1+$B$49/100)^I$31+J$29*J$30/(1+$B$49/100)^J$31+J$29*(1+E$48)/($B$49/100-E$48)/(1+$B$49/100)^4.25-$C$41)/$C$43</f>
        <v/>
      </c>
      <c r="F49" s="68">
        <f>(F$29*F$30/(1+$B$49/100)^F$31+G$29*G$30/(1+$B$49/100)^G$31+H$29*H$30/(1+$B$49/100)^H$31+I$29*I$30/(1+$B$49/100)^I$31+J$29*J$30/(1+$B$49/100)^J$31+J$29*(1+F$48)/($B$49/100-F$48)/(1+$B$49/100)^4.25-$C$41)/$C$43</f>
        <v/>
      </c>
      <c r="G49" s="68">
        <f>(F$29*F$30/(1+$B$49/100)^F$31+G$29*G$30/(1+$B$49/100)^G$31+H$29*H$30/(1+$B$49/100)^H$31+I$29*I$30/(1+$B$49/100)^I$31+J$29*J$30/(1+$B$49/100)^J$31+J$29*(1+G$48)/($B$49/100-G$48)/(1+$B$49/100)^4.25-$C$41)/$C$43</f>
        <v/>
      </c>
    </row>
    <row r="50">
      <c r="B50" s="67">
        <f>$C$16+-0.5</f>
        <v/>
      </c>
      <c r="C50" s="68">
        <f>(F$29*F$30/(1+$B$50/100)^F$31+G$29*G$30/(1+$B$50/100)^G$31+H$29*H$30/(1+$B$50/100)^H$31+I$29*I$30/(1+$B$50/100)^I$31+J$29*J$30/(1+$B$50/100)^J$31+J$29*(1+C$48)/($B$50/100-C$48)/(1+$B$50/100)^4.25-$C$41)/$C$43</f>
        <v/>
      </c>
      <c r="D50" s="68">
        <f>(F$29*F$30/(1+$B$50/100)^F$31+G$29*G$30/(1+$B$50/100)^G$31+H$29*H$30/(1+$B$50/100)^H$31+I$29*I$30/(1+$B$50/100)^I$31+J$29*J$30/(1+$B$50/100)^J$31+J$29*(1+D$48)/($B$50/100-D$48)/(1+$B$50/100)^4.25-$C$41)/$C$43</f>
        <v/>
      </c>
      <c r="E50" s="68">
        <f>(F$29*F$30/(1+$B$50/100)^F$31+G$29*G$30/(1+$B$50/100)^G$31+H$29*H$30/(1+$B$50/100)^H$31+I$29*I$30/(1+$B$50/100)^I$31+J$29*J$30/(1+$B$50/100)^J$31+J$29*(1+E$48)/($B$50/100-E$48)/(1+$B$50/100)^4.25-$C$41)/$C$43</f>
        <v/>
      </c>
      <c r="F50" s="68">
        <f>(F$29*F$30/(1+$B$50/100)^F$31+G$29*G$30/(1+$B$50/100)^G$31+H$29*H$30/(1+$B$50/100)^H$31+I$29*I$30/(1+$B$50/100)^I$31+J$29*J$30/(1+$B$50/100)^J$31+J$29*(1+F$48)/($B$50/100-F$48)/(1+$B$50/100)^4.25-$C$41)/$C$43</f>
        <v/>
      </c>
      <c r="G50" s="68">
        <f>(F$29*F$30/(1+$B$50/100)^F$31+G$29*G$30/(1+$B$50/100)^G$31+H$29*H$30/(1+$B$50/100)^H$31+I$29*I$30/(1+$B$50/100)^I$31+J$29*J$30/(1+$B$50/100)^J$31+J$29*(1+G$48)/($B$50/100-G$48)/(1+$B$50/100)^4.25-$C$41)/$C$43</f>
        <v/>
      </c>
    </row>
    <row r="51">
      <c r="B51" s="67">
        <f>$C$16+0.0</f>
        <v/>
      </c>
      <c r="C51" s="68">
        <f>(F$29*F$30/(1+$B$51/100)^F$31+G$29*G$30/(1+$B$51/100)^G$31+H$29*H$30/(1+$B$51/100)^H$31+I$29*I$30/(1+$B$51/100)^I$31+J$29*J$30/(1+$B$51/100)^J$31+J$29*(1+C$48)/($B$51/100-C$48)/(1+$B$51/100)^4.25-$C$41)/$C$43</f>
        <v/>
      </c>
      <c r="D51" s="68">
        <f>(F$29*F$30/(1+$B$51/100)^F$31+G$29*G$30/(1+$B$51/100)^G$31+H$29*H$30/(1+$B$51/100)^H$31+I$29*I$30/(1+$B$51/100)^I$31+J$29*J$30/(1+$B$51/100)^J$31+J$29*(1+D$48)/($B$51/100-D$48)/(1+$B$51/100)^4.25-$C$41)/$C$43</f>
        <v/>
      </c>
      <c r="E51" s="69">
        <f>(F$29*F$30/(1+$B$51/100)^F$31+G$29*G$30/(1+$B$51/100)^G$31+H$29*H$30/(1+$B$51/100)^H$31+I$29*I$30/(1+$B$51/100)^I$31+J$29*J$30/(1+$B$51/100)^J$31+J$29*(1+E$48)/($B$51/100-E$48)/(1+$B$51/100)^4.25-$C$41)/$C$43</f>
        <v/>
      </c>
      <c r="F51" s="68">
        <f>(F$29*F$30/(1+$B$51/100)^F$31+G$29*G$30/(1+$B$51/100)^G$31+H$29*H$30/(1+$B$51/100)^H$31+I$29*I$30/(1+$B$51/100)^I$31+J$29*J$30/(1+$B$51/100)^J$31+J$29*(1+F$48)/($B$51/100-F$48)/(1+$B$51/100)^4.25-$C$41)/$C$43</f>
        <v/>
      </c>
      <c r="G51" s="68">
        <f>(F$29*F$30/(1+$B$51/100)^F$31+G$29*G$30/(1+$B$51/100)^G$31+H$29*H$30/(1+$B$51/100)^H$31+I$29*I$30/(1+$B$51/100)^I$31+J$29*J$30/(1+$B$51/100)^J$31+J$29*(1+G$48)/($B$51/100-G$48)/(1+$B$51/100)^4.25-$C$41)/$C$43</f>
        <v/>
      </c>
    </row>
    <row r="52">
      <c r="B52" s="67">
        <f>$C$16+0.5</f>
        <v/>
      </c>
      <c r="C52" s="68">
        <f>(F$29*F$30/(1+$B$52/100)^F$31+G$29*G$30/(1+$B$52/100)^G$31+H$29*H$30/(1+$B$52/100)^H$31+I$29*I$30/(1+$B$52/100)^I$31+J$29*J$30/(1+$B$52/100)^J$31+J$29*(1+C$48)/($B$52/100-C$48)/(1+$B$52/100)^4.25-$C$41)/$C$43</f>
        <v/>
      </c>
      <c r="D52" s="68">
        <f>(F$29*F$30/(1+$B$52/100)^F$31+G$29*G$30/(1+$B$52/100)^G$31+H$29*H$30/(1+$B$52/100)^H$31+I$29*I$30/(1+$B$52/100)^I$31+J$29*J$30/(1+$B$52/100)^J$31+J$29*(1+D$48)/($B$52/100-D$48)/(1+$B$52/100)^4.25-$C$41)/$C$43</f>
        <v/>
      </c>
      <c r="E52" s="68">
        <f>(F$29*F$30/(1+$B$52/100)^F$31+G$29*G$30/(1+$B$52/100)^G$31+H$29*H$30/(1+$B$52/100)^H$31+I$29*I$30/(1+$B$52/100)^I$31+J$29*J$30/(1+$B$52/100)^J$31+J$29*(1+E$48)/($B$52/100-E$48)/(1+$B$52/100)^4.25-$C$41)/$C$43</f>
        <v/>
      </c>
      <c r="F52" s="68">
        <f>(F$29*F$30/(1+$B$52/100)^F$31+G$29*G$30/(1+$B$52/100)^G$31+H$29*H$30/(1+$B$52/100)^H$31+I$29*I$30/(1+$B$52/100)^I$31+J$29*J$30/(1+$B$52/100)^J$31+J$29*(1+F$48)/($B$52/100-F$48)/(1+$B$52/100)^4.25-$C$41)/$C$43</f>
        <v/>
      </c>
      <c r="G52" s="68">
        <f>(F$29*F$30/(1+$B$52/100)^F$31+G$29*G$30/(1+$B$52/100)^G$31+H$29*H$30/(1+$B$52/100)^H$31+I$29*I$30/(1+$B$52/100)^I$31+J$29*J$30/(1+$B$52/100)^J$31+J$29*(1+G$48)/($B$52/100-G$48)/(1+$B$52/100)^4.25-$C$41)/$C$43</f>
        <v/>
      </c>
    </row>
    <row r="53">
      <c r="B53" s="67">
        <f>$C$16+1.0</f>
        <v/>
      </c>
      <c r="C53" s="68">
        <f>(F$29*F$30/(1+$B$53/100)^F$31+G$29*G$30/(1+$B$53/100)^G$31+H$29*H$30/(1+$B$53/100)^H$31+I$29*I$30/(1+$B$53/100)^I$31+J$29*J$30/(1+$B$53/100)^J$31+J$29*(1+C$48)/($B$53/100-C$48)/(1+$B$53/100)^4.25-$C$41)/$C$43</f>
        <v/>
      </c>
      <c r="D53" s="68">
        <f>(F$29*F$30/(1+$B$53/100)^F$31+G$29*G$30/(1+$B$53/100)^G$31+H$29*H$30/(1+$B$53/100)^H$31+I$29*I$30/(1+$B$53/100)^I$31+J$29*J$30/(1+$B$53/100)^J$31+J$29*(1+D$48)/($B$53/100-D$48)/(1+$B$53/100)^4.25-$C$41)/$C$43</f>
        <v/>
      </c>
      <c r="E53" s="68">
        <f>(F$29*F$30/(1+$B$53/100)^F$31+G$29*G$30/(1+$B$53/100)^G$31+H$29*H$30/(1+$B$53/100)^H$31+I$29*I$30/(1+$B$53/100)^I$31+J$29*J$30/(1+$B$53/100)^J$31+J$29*(1+E$48)/($B$53/100-E$48)/(1+$B$53/100)^4.25-$C$41)/$C$43</f>
        <v/>
      </c>
      <c r="F53" s="68">
        <f>(F$29*F$30/(1+$B$53/100)^F$31+G$29*G$30/(1+$B$53/100)^G$31+H$29*H$30/(1+$B$53/100)^H$31+I$29*I$30/(1+$B$53/100)^I$31+J$29*J$30/(1+$B$53/100)^J$31+J$29*(1+F$48)/($B$53/100-F$48)/(1+$B$53/100)^4.25-$C$41)/$C$43</f>
        <v/>
      </c>
      <c r="G53" s="68">
        <f>(F$29*F$30/(1+$B$53/100)^F$31+G$29*G$30/(1+$B$53/100)^G$31+H$29*H$30/(1+$B$53/100)^H$31+I$29*I$30/(1+$B$53/100)^I$31+J$29*J$30/(1+$B$53/100)^J$31+J$29*(1+G$48)/($B$53/100-G$48)/(1+$B$53/100)^4.25-$C$41)/$C$43</f>
        <v/>
      </c>
    </row>
  </sheetData>
  <pageMargins left="0.75" right="0.75" top="1" bottom="1" header="0.5" footer="0.5"/>
</worksheet>
</file>

<file path=xl/worksheets/sheet10.xml><?xml version="1.0" encoding="utf-8"?>
<worksheet xmlns="http://schemas.openxmlformats.org/spreadsheetml/2006/main">
  <sheetPr>
    <tabColor rgb="007A5C2E"/>
    <outlinePr summaryBelow="1" summaryRight="1"/>
    <pageSetUpPr/>
  </sheetPr>
  <dimension ref="B2:Q37"/>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23" customWidth="1" min="2" max="2"/>
    <col width="9" customWidth="1" min="3" max="3"/>
    <col width="11" customWidth="1" min="4" max="4"/>
    <col width="11" customWidth="1" min="5" max="5"/>
    <col width="10" customWidth="1" min="6" max="6"/>
    <col width="9" customWidth="1" min="7" max="7"/>
    <col width="11" customWidth="1" min="8" max="8"/>
    <col width="10" customWidth="1" min="9" max="9"/>
    <col width="9" customWidth="1" min="10" max="10"/>
    <col width="10" customWidth="1" min="11" max="11"/>
    <col width="10" customWidth="1" min="12" max="12"/>
    <col width="8" customWidth="1" min="13" max="13"/>
    <col width="8" customWidth="1" min="14" max="14"/>
    <col width="8" customWidth="1" min="15" max="15"/>
    <col width="11" customWidth="1" min="16" max="16"/>
    <col width="56" customWidth="1" min="17" max="17"/>
    <col width="2" customWidth="1" min="18" max="18"/>
  </cols>
  <sheetData>
    <row r="2" ht="21" customHeight="1">
      <c r="B2" s="1" t="inlineStr">
        <is>
          <t>Comparable Companies</t>
        </is>
      </c>
    </row>
    <row r="3">
      <c r="B3" s="2" t="inlineStr">
        <is>
          <t>Prices and trailing P/E at 04-Sep-2026 (stockanalysis.com). Equity from each company's most recent 10-Q. Trailing net income is derived from market cap and P/E so that every company is on the same trailing basis.</t>
        </is>
      </c>
    </row>
    <row r="5" ht="30" customHeight="1">
      <c r="B5" s="70" t="inlineStr">
        <is>
          <t>Company</t>
        </is>
      </c>
      <c r="C5" s="71" t="inlineStr">
        <is>
          <t>Price $</t>
        </is>
      </c>
      <c r="D5" s="71" t="inlineStr">
        <is>
          <t>Mkt cap $m</t>
        </is>
      </c>
      <c r="E5" s="71" t="inlineStr">
        <is>
          <t>Equity $m</t>
        </is>
      </c>
      <c r="F5" s="71" t="inlineStr">
        <is>
          <t>GW+int $m</t>
        </is>
      </c>
      <c r="G5" s="71" t="inlineStr">
        <is>
          <t>P/E ttm</t>
        </is>
      </c>
      <c r="H5" s="71" t="inlineStr">
        <is>
          <t>Rev ttm $m</t>
        </is>
      </c>
      <c r="I5" s="71" t="inlineStr">
        <is>
          <t>NI ttm $m</t>
        </is>
      </c>
      <c r="J5" s="71" t="inlineStr">
        <is>
          <t>Shares m</t>
        </is>
      </c>
      <c r="K5" s="71" t="inlineStr">
        <is>
          <t>BVPS $</t>
        </is>
      </c>
      <c r="L5" s="71" t="inlineStr">
        <is>
          <t>TBVPS $</t>
        </is>
      </c>
      <c r="M5" s="71" t="inlineStr">
        <is>
          <t>P/B</t>
        </is>
      </c>
      <c r="N5" s="71" t="inlineStr">
        <is>
          <t>P/TB</t>
        </is>
      </c>
      <c r="O5" s="71" t="inlineStr">
        <is>
          <t>ROE %</t>
        </is>
      </c>
      <c r="P5" s="71" t="inlineStr">
        <is>
          <t>P/E x ROE</t>
        </is>
      </c>
    </row>
    <row r="6">
      <c r="B6" s="72" t="inlineStr">
        <is>
          <t>DHI — D.R. Horton</t>
        </is>
      </c>
      <c r="C6" s="40" t="n">
        <v>142.94</v>
      </c>
      <c r="D6" s="41" t="n">
        <v>39980</v>
      </c>
      <c r="E6" s="41" t="n">
        <v>23820</v>
      </c>
      <c r="F6" s="41" t="n">
        <v>164</v>
      </c>
      <c r="G6" s="73" t="n">
        <v>13.6</v>
      </c>
      <c r="H6" s="41" t="n">
        <v>33350</v>
      </c>
      <c r="I6" s="13">
        <f>D6/G6</f>
        <v/>
      </c>
      <c r="J6" s="48">
        <f>D6/C6</f>
        <v/>
      </c>
      <c r="K6" s="50">
        <f>E6/J6</f>
        <v/>
      </c>
      <c r="L6" s="50">
        <f>(E6-F6)/J6</f>
        <v/>
      </c>
      <c r="M6" s="60">
        <f>C6/K6</f>
        <v/>
      </c>
      <c r="N6" s="60">
        <f>C6/L6</f>
        <v/>
      </c>
      <c r="O6" s="16">
        <f>I6/E6</f>
        <v/>
      </c>
      <c r="P6" s="74">
        <f>G6*O6</f>
        <v/>
      </c>
    </row>
    <row r="7">
      <c r="B7" s="72" t="inlineStr">
        <is>
          <t>LEN — Lennar</t>
        </is>
      </c>
      <c r="C7" s="40" t="n">
        <v>83.88</v>
      </c>
      <c r="D7" s="41" t="n">
        <v>20210</v>
      </c>
      <c r="E7" s="41" t="n">
        <v>21621</v>
      </c>
      <c r="F7" s="41" t="n">
        <v>3632</v>
      </c>
      <c r="G7" s="73" t="n">
        <v>13.12</v>
      </c>
      <c r="H7" s="41" t="n">
        <v>32740</v>
      </c>
      <c r="I7" s="13">
        <f>D7/G7</f>
        <v/>
      </c>
      <c r="J7" s="48">
        <f>D7/C7</f>
        <v/>
      </c>
      <c r="K7" s="50">
        <f>E7/J7</f>
        <v/>
      </c>
      <c r="L7" s="50">
        <f>(E7-F7)/J7</f>
        <v/>
      </c>
      <c r="M7" s="60">
        <f>C7/K7</f>
        <v/>
      </c>
      <c r="N7" s="60">
        <f>C7/L7</f>
        <v/>
      </c>
      <c r="O7" s="16">
        <f>I7/E7</f>
        <v/>
      </c>
      <c r="P7" s="74">
        <f>G7*O7</f>
        <v/>
      </c>
    </row>
    <row r="8">
      <c r="B8" s="72" t="inlineStr">
        <is>
          <t>PHM — PulteGroup</t>
        </is>
      </c>
      <c r="C8" s="40" t="n">
        <v>124.36</v>
      </c>
      <c r="D8" s="41" t="n">
        <v>23310</v>
      </c>
      <c r="E8" s="41" t="n">
        <v>13014</v>
      </c>
      <c r="F8" s="41" t="n">
        <v>86</v>
      </c>
      <c r="G8" s="73" t="n">
        <v>12.68</v>
      </c>
      <c r="H8" s="41" t="n">
        <v>16410</v>
      </c>
      <c r="I8" s="13">
        <f>D8/G8</f>
        <v/>
      </c>
      <c r="J8" s="48">
        <f>D8/C8</f>
        <v/>
      </c>
      <c r="K8" s="50">
        <f>E8/J8</f>
        <v/>
      </c>
      <c r="L8" s="50">
        <f>(E8-F8)/J8</f>
        <v/>
      </c>
      <c r="M8" s="60">
        <f>C8/K8</f>
        <v/>
      </c>
      <c r="N8" s="60">
        <f>C8/L8</f>
        <v/>
      </c>
      <c r="O8" s="16">
        <f>I8/E8</f>
        <v/>
      </c>
      <c r="P8" s="74">
        <f>G8*O8</f>
        <v/>
      </c>
    </row>
    <row r="9">
      <c r="B9" s="72" t="inlineStr">
        <is>
          <t>TOL — Toll Brothers</t>
        </is>
      </c>
      <c r="C9" s="40" t="n">
        <v>141.43</v>
      </c>
      <c r="D9" s="41" t="n">
        <v>13030</v>
      </c>
      <c r="E9" s="41" t="n">
        <v>8531</v>
      </c>
      <c r="F9" s="41" t="n">
        <v>0</v>
      </c>
      <c r="G9" s="73" t="n">
        <v>11.32</v>
      </c>
      <c r="H9" s="41" t="n">
        <v>10760</v>
      </c>
      <c r="I9" s="13">
        <f>D9/G9</f>
        <v/>
      </c>
      <c r="J9" s="48">
        <f>D9/C9</f>
        <v/>
      </c>
      <c r="K9" s="50">
        <f>E9/J9</f>
        <v/>
      </c>
      <c r="L9" s="50">
        <f>(E9-F9)/J9</f>
        <v/>
      </c>
      <c r="M9" s="60">
        <f>C9/K9</f>
        <v/>
      </c>
      <c r="N9" s="60">
        <f>C9/L9</f>
        <v/>
      </c>
      <c r="O9" s="16">
        <f>I9/E9</f>
        <v/>
      </c>
      <c r="P9" s="74">
        <f>G9*O9</f>
        <v/>
      </c>
    </row>
    <row r="10">
      <c r="B10" s="72" t="inlineStr">
        <is>
          <t>MTH — Meritage</t>
        </is>
      </c>
      <c r="C10" s="40" t="n">
        <v>67.75</v>
      </c>
      <c r="D10" s="41" t="n">
        <v>4420</v>
      </c>
      <c r="E10" s="41" t="n">
        <v>5058</v>
      </c>
      <c r="F10" s="41" t="n">
        <v>34</v>
      </c>
      <c r="G10" s="73" t="n">
        <v>14.07</v>
      </c>
      <c r="H10" s="41" t="n">
        <v>5390</v>
      </c>
      <c r="I10" s="13">
        <f>D10/G10</f>
        <v/>
      </c>
      <c r="J10" s="48">
        <f>D10/C10</f>
        <v/>
      </c>
      <c r="K10" s="50">
        <f>E10/J10</f>
        <v/>
      </c>
      <c r="L10" s="50">
        <f>(E10-F10)/J10</f>
        <v/>
      </c>
      <c r="M10" s="60">
        <f>C10/K10</f>
        <v/>
      </c>
      <c r="N10" s="60">
        <f>C10/L10</f>
        <v/>
      </c>
      <c r="O10" s="16">
        <f>I10/E10</f>
        <v/>
      </c>
      <c r="P10" s="74">
        <f>G10*O10</f>
        <v/>
      </c>
    </row>
    <row r="11">
      <c r="B11" s="72" t="inlineStr">
        <is>
          <t>TPH — Tri Pointe</t>
        </is>
      </c>
      <c r="C11" s="40" t="n">
        <v>46.95</v>
      </c>
      <c r="D11" s="41" t="n">
        <v>4000</v>
      </c>
      <c r="E11" s="41" t="n">
        <v>3141</v>
      </c>
      <c r="F11" s="41" t="n">
        <v>156</v>
      </c>
      <c r="G11" s="73" t="n">
        <v>22.24</v>
      </c>
      <c r="H11" s="41" t="n">
        <v>3250</v>
      </c>
      <c r="I11" s="13">
        <f>D11/G11</f>
        <v/>
      </c>
      <c r="J11" s="48">
        <f>D11/C11</f>
        <v/>
      </c>
      <c r="K11" s="50">
        <f>E11/J11</f>
        <v/>
      </c>
      <c r="L11" s="50">
        <f>(E11-F11)/J11</f>
        <v/>
      </c>
      <c r="M11" s="60">
        <f>C11/K11</f>
        <v/>
      </c>
      <c r="N11" s="60">
        <f>C11/L11</f>
        <v/>
      </c>
      <c r="O11" s="16">
        <f>I11/E11</f>
        <v/>
      </c>
      <c r="P11" s="74">
        <f>G11*O11</f>
        <v/>
      </c>
    </row>
    <row r="12">
      <c r="B12" s="18" t="inlineStr">
        <is>
          <t>Peer median</t>
        </is>
      </c>
      <c r="C12" s="19" t="n"/>
      <c r="D12" s="19" t="n"/>
      <c r="E12" s="19" t="n"/>
      <c r="F12" s="19" t="n"/>
      <c r="G12" s="75">
        <f>MEDIAN(G6:G11)</f>
        <v/>
      </c>
      <c r="H12" s="19" t="n"/>
      <c r="I12" s="19" t="n"/>
      <c r="J12" s="19" t="n"/>
      <c r="K12" s="19" t="n"/>
      <c r="L12" s="19" t="n"/>
      <c r="M12" s="75">
        <f>MEDIAN(M6:M11)</f>
        <v/>
      </c>
      <c r="N12" s="75">
        <f>MEDIAN(N6:N11)</f>
        <v/>
      </c>
      <c r="O12" s="76">
        <f>MEDIAN(O6:O11)</f>
        <v/>
      </c>
      <c r="P12" s="19" t="n"/>
    </row>
    <row r="13">
      <c r="B13" s="24" t="inlineStr">
        <is>
          <t>Peer mean</t>
        </is>
      </c>
      <c r="G13" s="77">
        <f>AVERAGE(G6:G11)</f>
        <v/>
      </c>
      <c r="M13" s="77">
        <f>AVERAGE(M6:M11)</f>
        <v/>
      </c>
      <c r="N13" s="77">
        <f>AVERAGE(N6:N11)</f>
        <v/>
      </c>
      <c r="O13" s="34">
        <f>AVERAGE(O6:O11)</f>
        <v/>
      </c>
    </row>
    <row r="14">
      <c r="B14" s="27" t="inlineStr">
        <is>
          <t>MHO — M/I Homes</t>
        </is>
      </c>
      <c r="C14" s="78" t="n">
        <v>148.26</v>
      </c>
      <c r="D14" s="79" t="n">
        <v>3748</v>
      </c>
      <c r="E14" s="79" t="n">
        <v>3227</v>
      </c>
      <c r="F14" s="79" t="n">
        <v>16</v>
      </c>
      <c r="G14" s="80" t="n">
        <v>12.41</v>
      </c>
      <c r="H14" s="79" t="n">
        <v>4260</v>
      </c>
      <c r="I14" s="64">
        <f>D14/G14</f>
        <v/>
      </c>
      <c r="J14" s="81">
        <f>D14/C14</f>
        <v/>
      </c>
      <c r="K14" s="82">
        <f>E14/J14</f>
        <v/>
      </c>
      <c r="L14" s="82">
        <f>(E14-F14)/J14</f>
        <v/>
      </c>
      <c r="M14" s="83">
        <f>C14/K14</f>
        <v/>
      </c>
      <c r="N14" s="83">
        <f>C14/L14</f>
        <v/>
      </c>
      <c r="O14" s="12">
        <f>I14/E14</f>
        <v/>
      </c>
      <c r="P14" s="83">
        <f>G14*O14</f>
        <v/>
      </c>
      <c r="Q14" s="9" t="inlineStr">
        <is>
          <t>MHO screens ~17% below the peer median on P/B — but it also earns a lower return on that book than any peer except the two trading below book.</t>
        </is>
      </c>
    </row>
    <row r="16" ht="15.5" customHeight="1">
      <c r="B16" s="3" t="inlineStr">
        <is>
          <t>WHAT THE COMP SET ACTUALLY SHOWS</t>
        </is>
      </c>
      <c r="C16" s="3" t="n"/>
      <c r="D16" s="3" t="n"/>
      <c r="E16" s="3" t="n"/>
      <c r="F16" s="3" t="n"/>
      <c r="G16" s="3" t="n"/>
      <c r="H16" s="3" t="n"/>
      <c r="I16" s="3" t="n"/>
      <c r="J16" s="3" t="n"/>
      <c r="K16" s="3" t="n"/>
      <c r="L16" s="3" t="n"/>
      <c r="M16" s="3" t="n"/>
      <c r="N16" s="3" t="n"/>
      <c r="O16" s="3" t="n"/>
      <c r="P16" s="3" t="n"/>
    </row>
    <row r="17">
      <c r="B17" s="10" t="inlineStr">
        <is>
          <t>P/B = (MktCap/NI) x (NI/Equity) = P/E x ROE. That is an accounting identity, not an empirical result — the P/E x ROE column above reproduces P/B exactly for every company.</t>
        </is>
      </c>
    </row>
    <row r="18">
      <c r="B18" s="10" t="inlineStr">
        <is>
          <t>So there is no independent information in a fitted line through P/B and ROE, and none is attempted here. The observation that survives is about DISPERSION: peer earnings</t>
        </is>
      </c>
    </row>
    <row r="19">
      <c r="B19" s="10" t="inlineStr">
        <is>
          <t>multiples sit in a narrow band while returns on equity do not. The market is paying similar earnings multiples for very different returns on capital.</t>
        </is>
      </c>
    </row>
    <row r="20">
      <c r="B20" s="10" t="inlineStr">
        <is>
          <t>The practical consequence: P/B and P/E are ONE view of this stock, not two, so they are counted once. And because the multiple barely moves with the return, MHO's</t>
        </is>
      </c>
    </row>
    <row r="21">
      <c r="B21" s="10" t="inlineStr">
        <is>
          <t>depressed ROE shows up in the earnings rather than in the multiple — which is why the peer-based valuation below simply applies the peer median P/E to our own EPS estimate.</t>
        </is>
      </c>
    </row>
    <row r="22" ht="6" customHeight="1"/>
    <row r="23" ht="15.5" customHeight="1">
      <c r="B23" s="3" t="inlineStr">
        <is>
          <t>DISPERSION — peer earnings multiples vs peer returns (Tri Pointe shown but excluded: its 22x P/E reflects trough earnings)</t>
        </is>
      </c>
      <c r="C23" s="3" t="n"/>
      <c r="D23" s="3" t="n"/>
      <c r="E23" s="3" t="n"/>
      <c r="F23" s="3" t="n"/>
      <c r="G23" s="3" t="n"/>
      <c r="H23" s="3" t="n"/>
      <c r="I23" s="3" t="n"/>
      <c r="J23" s="3" t="n"/>
      <c r="K23" s="3" t="n"/>
      <c r="L23" s="3" t="n"/>
      <c r="M23" s="3" t="n"/>
      <c r="N23" s="3" t="n"/>
      <c r="O23" s="3" t="n"/>
      <c r="P23" s="3" t="n"/>
    </row>
    <row r="24">
      <c r="B24" s="10" t="inlineStr">
        <is>
          <t>Peer P/E — low</t>
        </is>
      </c>
      <c r="E24" s="60">
        <f>MIN(G6:G10)</f>
        <v/>
      </c>
    </row>
    <row r="25">
      <c r="B25" s="10" t="inlineStr">
        <is>
          <t>Peer P/E — high</t>
        </is>
      </c>
      <c r="E25" s="60">
        <f>MAX(G6:G10)</f>
        <v/>
      </c>
    </row>
    <row r="26">
      <c r="B26" s="10" t="inlineStr">
        <is>
          <t>Peer P/E — coefficient of variation</t>
        </is>
      </c>
      <c r="E26" s="16">
        <f>STDEVP(G6:G10)/AVERAGE(G6:G10)</f>
        <v/>
      </c>
      <c r="Q26" s="9" t="inlineStr">
        <is>
          <t>Earnings multiples are tightly clustered.</t>
        </is>
      </c>
    </row>
    <row r="27">
      <c r="B27" s="10" t="inlineStr">
        <is>
          <t>Peer ROE — low</t>
        </is>
      </c>
      <c r="E27" s="16">
        <f>MIN(O6:O10)</f>
        <v/>
      </c>
    </row>
    <row r="28">
      <c r="B28" s="10" t="inlineStr">
        <is>
          <t>Peer ROE — high</t>
        </is>
      </c>
      <c r="E28" s="16">
        <f>MAX(O6:O10)</f>
        <v/>
      </c>
    </row>
    <row r="29">
      <c r="B29" s="6" t="inlineStr">
        <is>
          <t>Peer ROE — coefficient of variation</t>
        </is>
      </c>
      <c r="E29" s="12">
        <f>STDEVP(O6:O10)/AVERAGE(O6:O10)</f>
        <v/>
      </c>
      <c r="Q29" s="9" t="inlineStr">
        <is>
          <t>Returns vary roughly four times as much as the multiples that price them.</t>
        </is>
      </c>
    </row>
    <row r="30" ht="6" customHeight="1"/>
    <row r="31">
      <c r="B31" s="10" t="inlineStr">
        <is>
          <t>Normalised ROE implied by the current share price</t>
        </is>
      </c>
      <c r="E31" s="84">
        <f>3.5+M14*(DCF!$C$9-3.5)</f>
        <v/>
      </c>
      <c r="Q31" s="9" t="inlineStr">
        <is>
          <t>At an 11.5% cost of equity and 3.5% long-run growth, a 1.16x book multiple already pays for a normalised return on equity of roughly 12.8%. The base case reaches 12.2% by 2029, so the recovery is largely in the price.</t>
        </is>
      </c>
    </row>
    <row r="32" ht="6" customHeight="1"/>
    <row r="33" ht="15.5" customHeight="1">
      <c r="B33" s="3" t="inlineStr">
        <is>
          <t>IMPLIED VALUE PER SHARE</t>
        </is>
      </c>
      <c r="C33" s="3" t="n"/>
      <c r="D33" s="3" t="n"/>
      <c r="E33" s="3" t="n"/>
      <c r="F33" s="3" t="n"/>
      <c r="G33" s="3" t="n"/>
      <c r="H33" s="3" t="n"/>
      <c r="I33" s="3" t="n"/>
      <c r="J33" s="3" t="n"/>
      <c r="K33" s="3" t="n"/>
      <c r="L33" s="3" t="n"/>
      <c r="M33" s="3" t="n"/>
      <c r="N33" s="3" t="n"/>
      <c r="O33" s="3" t="n"/>
      <c r="P33" s="3" t="n"/>
    </row>
    <row r="34">
      <c r="B34" s="15" t="inlineStr">
        <is>
          <t>Method</t>
        </is>
      </c>
      <c r="C34" s="15" t="inlineStr">
        <is>
          <t>Multiple</t>
        </is>
      </c>
      <c r="E34" s="15" t="inlineStr">
        <is>
          <t>Applied to</t>
        </is>
      </c>
      <c r="H34" s="15" t="inlineStr">
        <is>
          <t>Value $</t>
        </is>
      </c>
    </row>
    <row r="35">
      <c r="B35" s="14" t="inlineStr">
        <is>
          <t>Peer median P/B on Sep-2027E book</t>
        </is>
      </c>
      <c r="C35" s="60">
        <f>M12</f>
        <v/>
      </c>
      <c r="E35" s="2" t="inlineStr">
        <is>
          <t>Book value at Sep-2027 (est.)</t>
        </is>
      </c>
      <c r="H35" s="85">
        <f>C35*((BS!F25)+(BS!G25))/2</f>
        <v/>
      </c>
      <c r="Q35" s="9" t="inlineStr">
        <is>
          <t>THE comparables method. The median multiple the comp set trades at, applied to our own book estimate. Scenarios instead take the multiple the market puts on the builder actually earning that return — Meritage for the bear case, Toll Brothers for the bull — so every multiple in the model belongs to a company you can look up.</t>
        </is>
      </c>
    </row>
    <row r="36">
      <c r="B36" s="14" t="inlineStr">
        <is>
          <t>Memo: peer median P/E on 2027E EPS</t>
        </is>
      </c>
      <c r="C36" s="60">
        <f>G12</f>
        <v/>
      </c>
      <c r="E36" s="2" t="inlineStr">
        <is>
          <t>2027E diluted EPS</t>
        </is>
      </c>
      <c r="H36" s="85">
        <f>C36*IS!G37</f>
        <v/>
      </c>
      <c r="Q36" s="9" t="inlineStr">
        <is>
          <t>Cross-check only, NOT weighted. The identity P/B = P/E x ROE means this is the same view restated.</t>
        </is>
      </c>
    </row>
    <row r="37">
      <c r="B37" s="14" t="inlineStr">
        <is>
          <t>Memo: MHO's own P/E on 2027E EPS</t>
        </is>
      </c>
      <c r="C37" s="60">
        <f>G14</f>
        <v/>
      </c>
      <c r="E37" s="2" t="inlineStr">
        <is>
          <t>2027E diluted EPS</t>
        </is>
      </c>
      <c r="H37" s="85">
        <f>C37*IS!G37</f>
        <v/>
      </c>
      <c r="Q37" s="9" t="inlineStr">
        <is>
          <t>NOT a valuation. This reduces algebraically to today's share price scaled by our own EPS growth, so it cannot disagree with the market. Shown only to document why it is not used.</t>
        </is>
      </c>
    </row>
  </sheetData>
  <pageMargins left="0.75" right="0.75" top="1" bottom="1" header="0.5" footer="0.5"/>
</worksheet>
</file>

<file path=xl/worksheets/sheet11.xml><?xml version="1.0" encoding="utf-8"?>
<worksheet xmlns="http://schemas.openxmlformats.org/spreadsheetml/2006/main">
  <sheetPr>
    <tabColor rgb="006B3F5C"/>
    <outlinePr summaryBelow="1" summaryRight="1"/>
    <pageSetUpPr/>
  </sheetPr>
  <dimension ref="B2:L47"/>
  <sheetViews>
    <sheetView showGridLines="0" zoomScale="10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48" customWidth="1" min="2" max="2"/>
    <col width="13" customWidth="1" min="3" max="3"/>
    <col width="13" customWidth="1" min="4" max="4"/>
    <col width="13" customWidth="1" min="5" max="5"/>
    <col width="13" customWidth="1" min="6" max="6"/>
    <col width="13" customWidth="1" min="7" max="7"/>
    <col width="13" customWidth="1" min="8" max="8"/>
    <col width="12.6" customWidth="1" min="9" max="9"/>
    <col width="12.6" customWidth="1" min="10" max="10"/>
    <col width="2.2" customWidth="1" min="11" max="11"/>
    <col width="62" customWidth="1" min="12" max="12"/>
  </cols>
  <sheetData>
    <row r="2" ht="21" customHeight="1">
      <c r="B2" s="1" t="inlineStr">
        <is>
          <t>Sensitivity — mortgage rates and incentive load</t>
        </is>
      </c>
    </row>
    <row r="3">
      <c r="B3" s="2" t="inlineStr">
        <is>
          <t>Live formulas, not pasted values. Every cell re-runs the 2027E P&amp;L from gross ASP down to EPS, holding 2026E at base. Change anything on Assumptions and this grid moves.</t>
        </is>
      </c>
    </row>
    <row r="5" ht="15.5" customHeight="1">
      <c r="B5" s="3" t="inlineStr">
        <is>
          <t>2027E INPUTS HELD CONSTANT  (linked — do not overwrite)</t>
        </is>
      </c>
      <c r="C5" s="3" t="n"/>
      <c r="D5" s="3" t="n"/>
      <c r="E5" s="3" t="n"/>
      <c r="F5" s="3" t="n"/>
      <c r="G5" s="3" t="n"/>
      <c r="H5" s="3" t="n"/>
      <c r="I5" s="3" t="n"/>
      <c r="J5" s="3" t="n"/>
    </row>
    <row r="6">
      <c r="B6" s="14" t="inlineStr">
        <is>
          <t>Deliveries — Northern</t>
        </is>
      </c>
      <c r="C6" s="51">
        <f>'Segment Build'!G8</f>
        <v/>
      </c>
    </row>
    <row r="7">
      <c r="B7" s="14" t="inlineStr">
        <is>
          <t>Deliveries — Southern</t>
        </is>
      </c>
      <c r="C7" s="51">
        <f>'Segment Build'!G18</f>
        <v/>
      </c>
    </row>
    <row r="8">
      <c r="B8" s="14" t="inlineStr">
        <is>
          <t>Gross ASP — Northern ($000)</t>
        </is>
      </c>
      <c r="C8" s="55">
        <f>'Segment Build'!G9</f>
        <v/>
      </c>
    </row>
    <row r="9">
      <c r="B9" s="14" t="inlineStr">
        <is>
          <t>Gross ASP — Southern ($000)</t>
        </is>
      </c>
      <c r="C9" s="55">
        <f>'Segment Build'!G19</f>
        <v/>
      </c>
    </row>
    <row r="10">
      <c r="B10" s="14" t="inlineStr">
        <is>
          <t>Cost per home — Northern ($000)</t>
        </is>
      </c>
      <c r="C10" s="55">
        <f>'Segment Build'!G12</f>
        <v/>
      </c>
    </row>
    <row r="11">
      <c r="B11" s="14" t="inlineStr">
        <is>
          <t>Cost per home — Southern ($000)</t>
        </is>
      </c>
      <c r="C11" s="55">
        <f>'Segment Build'!G22</f>
        <v/>
      </c>
    </row>
    <row r="12">
      <c r="B12" s="14" t="inlineStr">
        <is>
          <t>Land sale revenue</t>
        </is>
      </c>
      <c r="C12" s="51">
        <f>Assumptions!G28</f>
        <v/>
      </c>
    </row>
    <row r="13">
      <c r="B13" s="14" t="inlineStr">
        <is>
          <t>Financial services revenue</t>
        </is>
      </c>
      <c r="C13" s="51">
        <f>'Segment Build'!G29</f>
        <v/>
      </c>
    </row>
    <row r="14">
      <c r="B14" s="14" t="inlineStr">
        <is>
          <t>Diluted shares (000)</t>
        </is>
      </c>
      <c r="C14" s="51">
        <f>IS!G36</f>
        <v/>
      </c>
    </row>
    <row r="15">
      <c r="B15" s="14" t="inlineStr">
        <is>
          <t>Northern competition premium (pp)</t>
        </is>
      </c>
      <c r="C15" s="86">
        <f>Assumptions!G14</f>
        <v/>
      </c>
    </row>
    <row r="16">
      <c r="B16" s="14" t="inlineStr">
        <is>
          <t>Neutral mortgage rate (%)</t>
        </is>
      </c>
      <c r="C16" s="86">
        <f>Assumptions!$C$9</f>
        <v/>
      </c>
    </row>
    <row r="17">
      <c r="B17" s="14" t="inlineStr">
        <is>
          <t>Northern base incentive / rate slope</t>
        </is>
      </c>
      <c r="C17" s="86">
        <f>Assumptions!$C$12</f>
        <v/>
      </c>
    </row>
    <row r="18">
      <c r="B18" s="14" t="inlineStr">
        <is>
          <t xml:space="preserve">   Northern rate slope</t>
        </is>
      </c>
      <c r="C18" s="87">
        <f>Assumptions!$C$13</f>
        <v/>
      </c>
    </row>
    <row r="19">
      <c r="B19" s="14" t="inlineStr">
        <is>
          <t>Southern base incentive</t>
        </is>
      </c>
      <c r="C19" s="86">
        <f>Assumptions!$C$15</f>
        <v/>
      </c>
    </row>
    <row r="20">
      <c r="B20" s="14" t="inlineStr">
        <is>
          <t xml:space="preserve">   Southern rate slope</t>
        </is>
      </c>
      <c r="C20" s="87">
        <f>Assumptions!$C$16</f>
        <v/>
      </c>
    </row>
    <row r="21">
      <c r="B21" s="14" t="inlineStr">
        <is>
          <t>Selling (% of homebuilding revenue)</t>
        </is>
      </c>
      <c r="C21" s="86">
        <f>Assumptions!G30</f>
        <v/>
      </c>
    </row>
    <row r="22">
      <c r="B22" s="14" t="inlineStr">
        <is>
          <t>Homebuilding G&amp;A (% of homebuilding revenue)</t>
        </is>
      </c>
      <c r="C22" s="86">
        <f>Assumptions!G31</f>
        <v/>
      </c>
    </row>
    <row r="23">
      <c r="B23" s="14" t="inlineStr">
        <is>
          <t>Financial services pre-tax margin (%)</t>
        </is>
      </c>
      <c r="C23" s="86">
        <f>Assumptions!$C$37</f>
        <v/>
      </c>
    </row>
    <row r="24">
      <c r="B24" s="14" t="inlineStr">
        <is>
          <t>Corporate / unallocated</t>
        </is>
      </c>
      <c r="C24" s="51">
        <f>Assumptions!G32</f>
        <v/>
      </c>
    </row>
    <row r="25">
      <c r="B25" s="14" t="inlineStr">
        <is>
          <t>Inventory impairment</t>
        </is>
      </c>
      <c r="C25" s="51">
        <f>Assumptions!G33</f>
        <v/>
      </c>
    </row>
    <row r="26">
      <c r="B26" s="14" t="inlineStr">
        <is>
          <t>Net interest income</t>
        </is>
      </c>
      <c r="C26" s="51">
        <f>Assumptions!G34</f>
        <v/>
      </c>
    </row>
    <row r="27">
      <c r="B27" s="14" t="inlineStr">
        <is>
          <t>Tax rate (%)</t>
        </is>
      </c>
      <c r="C27" s="86">
        <f>Assumptions!$C$38</f>
        <v/>
      </c>
    </row>
    <row r="28">
      <c r="B28" s="14" t="inlineStr">
        <is>
          <t>Land gross margin (%)</t>
        </is>
      </c>
      <c r="C28" s="86">
        <f>Assumptions!$C$35</f>
        <v/>
      </c>
    </row>
    <row r="29">
      <c r="B29" s="14" t="inlineStr">
        <is>
          <t>Southern share of land revenue (%)</t>
        </is>
      </c>
      <c r="C29" s="88">
        <f>Assumptions!$C$36</f>
        <v/>
      </c>
    </row>
    <row r="30" ht="6" customHeight="1"/>
    <row r="31" ht="15.5" customHeight="1">
      <c r="B31" s="3" t="inlineStr">
        <is>
          <t>2027E DILUTED EPS ($)   —   mortgage rate (down) x Southern competition premium (across)</t>
        </is>
      </c>
      <c r="C31" s="3" t="n"/>
      <c r="D31" s="3" t="n"/>
      <c r="E31" s="3" t="n"/>
      <c r="F31" s="3" t="n"/>
      <c r="G31" s="3" t="n"/>
      <c r="H31" s="3" t="n"/>
      <c r="I31" s="3" t="n"/>
      <c r="J31" s="3" t="n"/>
    </row>
    <row r="32">
      <c r="B32" s="32" t="inlineStr">
        <is>
          <t>30-yr mortgage rate  \  competition premium (pp of gross ASP)</t>
        </is>
      </c>
      <c r="C32" s="67" t="n">
        <v>0.5</v>
      </c>
      <c r="D32" s="67" t="n">
        <v>1.7</v>
      </c>
      <c r="E32" s="67" t="n">
        <v>2.97</v>
      </c>
      <c r="F32" s="67" t="n">
        <v>4.2</v>
      </c>
      <c r="G32" s="67" t="n">
        <v>5.5</v>
      </c>
    </row>
    <row r="33">
      <c r="B33" s="67" t="n">
        <v>5.5</v>
      </c>
      <c r="C33" s="11">
        <f>((((((($C$6*($C$8*(1-($C$17+$C$18*MAX(0,$B$33-$C$16)+$C$15)/100)))+$C$12*(1-$C$29/100))+(($C$7*($C$9*(1-($C$19+$C$20*MAX(0,$B$33-$C$16)+C$32)/100)))+$C$12*$C$29/100))+$C$13)-($C$6*$C$10+$C$7*$C$11+$C$12*(1-$C$28/100)+$C$25)-(((($C$6*($C$8*(1-($C$17+$C$18*MAX(0,$B$33-$C$16)+$C$15)/100)))+$C$12*(1-$C$29/100))+(($C$7*($C$9*(1-($C$19+$C$20*MAX(0,$B$33-$C$16)+C$32)/100)))+$C$12*$C$29/100))*$C$21/100)-(((($C$6*($C$8*(1-($C$17+$C$18*MAX(0,$B$33-$C$16)+$C$15)/100)))+$C$12*(1-$C$29/100))+(($C$7*($C$9*(1-($C$19+$C$20*MAX(0,$B$33-$C$16)+C$32)/100)))+$C$12*$C$29/100))*$C$22/100+$C$13*(1-$C$23/100))+$C$24)+$C$26)*(1-$C$27/100))/$C$14</f>
        <v/>
      </c>
      <c r="D33" s="11">
        <f>((((((($C$6*($C$8*(1-($C$17+$C$18*MAX(0,$B$33-$C$16)+$C$15)/100)))+$C$12*(1-$C$29/100))+(($C$7*($C$9*(1-($C$19+$C$20*MAX(0,$B$33-$C$16)+D$32)/100)))+$C$12*$C$29/100))+$C$13)-($C$6*$C$10+$C$7*$C$11+$C$12*(1-$C$28/100)+$C$25)-(((($C$6*($C$8*(1-($C$17+$C$18*MAX(0,$B$33-$C$16)+$C$15)/100)))+$C$12*(1-$C$29/100))+(($C$7*($C$9*(1-($C$19+$C$20*MAX(0,$B$33-$C$16)+D$32)/100)))+$C$12*$C$29/100))*$C$21/100)-(((($C$6*($C$8*(1-($C$17+$C$18*MAX(0,$B$33-$C$16)+$C$15)/100)))+$C$12*(1-$C$29/100))+(($C$7*($C$9*(1-($C$19+$C$20*MAX(0,$B$33-$C$16)+D$32)/100)))+$C$12*$C$29/100))*$C$22/100+$C$13*(1-$C$23/100))+$C$24)+$C$26)*(1-$C$27/100))/$C$14</f>
        <v/>
      </c>
      <c r="E33" s="11">
        <f>((((((($C$6*($C$8*(1-($C$17+$C$18*MAX(0,$B$33-$C$16)+$C$15)/100)))+$C$12*(1-$C$29/100))+(($C$7*($C$9*(1-($C$19+$C$20*MAX(0,$B$33-$C$16)+E$32)/100)))+$C$12*$C$29/100))+$C$13)-($C$6*$C$10+$C$7*$C$11+$C$12*(1-$C$28/100)+$C$25)-(((($C$6*($C$8*(1-($C$17+$C$18*MAX(0,$B$33-$C$16)+$C$15)/100)))+$C$12*(1-$C$29/100))+(($C$7*($C$9*(1-($C$19+$C$20*MAX(0,$B$33-$C$16)+E$32)/100)))+$C$12*$C$29/100))*$C$21/100)-(((($C$6*($C$8*(1-($C$17+$C$18*MAX(0,$B$33-$C$16)+$C$15)/100)))+$C$12*(1-$C$29/100))+(($C$7*($C$9*(1-($C$19+$C$20*MAX(0,$B$33-$C$16)+E$32)/100)))+$C$12*$C$29/100))*$C$22/100+$C$13*(1-$C$23/100))+$C$24)+$C$26)*(1-$C$27/100))/$C$14</f>
        <v/>
      </c>
      <c r="F33" s="11">
        <f>((((((($C$6*($C$8*(1-($C$17+$C$18*MAX(0,$B$33-$C$16)+$C$15)/100)))+$C$12*(1-$C$29/100))+(($C$7*($C$9*(1-($C$19+$C$20*MAX(0,$B$33-$C$16)+F$32)/100)))+$C$12*$C$29/100))+$C$13)-($C$6*$C$10+$C$7*$C$11+$C$12*(1-$C$28/100)+$C$25)-(((($C$6*($C$8*(1-($C$17+$C$18*MAX(0,$B$33-$C$16)+$C$15)/100)))+$C$12*(1-$C$29/100))+(($C$7*($C$9*(1-($C$19+$C$20*MAX(0,$B$33-$C$16)+F$32)/100)))+$C$12*$C$29/100))*$C$21/100)-(((($C$6*($C$8*(1-($C$17+$C$18*MAX(0,$B$33-$C$16)+$C$15)/100)))+$C$12*(1-$C$29/100))+(($C$7*($C$9*(1-($C$19+$C$20*MAX(0,$B$33-$C$16)+F$32)/100)))+$C$12*$C$29/100))*$C$22/100+$C$13*(1-$C$23/100))+$C$24)+$C$26)*(1-$C$27/100))/$C$14</f>
        <v/>
      </c>
      <c r="G33" s="11">
        <f>((((((($C$6*($C$8*(1-($C$17+$C$18*MAX(0,$B$33-$C$16)+$C$15)/100)))+$C$12*(1-$C$29/100))+(($C$7*($C$9*(1-($C$19+$C$20*MAX(0,$B$33-$C$16)+G$32)/100)))+$C$12*$C$29/100))+$C$13)-($C$6*$C$10+$C$7*$C$11+$C$12*(1-$C$28/100)+$C$25)-(((($C$6*($C$8*(1-($C$17+$C$18*MAX(0,$B$33-$C$16)+$C$15)/100)))+$C$12*(1-$C$29/100))+(($C$7*($C$9*(1-($C$19+$C$20*MAX(0,$B$33-$C$16)+G$32)/100)))+$C$12*$C$29/100))*$C$21/100)-(((($C$6*($C$8*(1-($C$17+$C$18*MAX(0,$B$33-$C$16)+$C$15)/100)))+$C$12*(1-$C$29/100))+(($C$7*($C$9*(1-($C$19+$C$20*MAX(0,$B$33-$C$16)+G$32)/100)))+$C$12*$C$29/100))*$C$22/100+$C$13*(1-$C$23/100))+$C$24)+$C$26)*(1-$C$27/100))/$C$14</f>
        <v/>
      </c>
      <c r="L33" s="9" t="inlineStr">
        <is>
          <t>Read across, then down. A 175bp move in mortgage rates is worth about $2.40 of 2027 EPS. A 5.5pp move in the Southern competition premium is worth about $4.00. The competitive variable matters more than the Fed.</t>
        </is>
      </c>
    </row>
    <row r="34">
      <c r="B34" s="67" t="n">
        <v>6</v>
      </c>
      <c r="C34" s="11">
        <f>((((((($C$6*($C$8*(1-($C$17+$C$18*MAX(0,$B$34-$C$16)+$C$15)/100)))+$C$12*(1-$C$29/100))+(($C$7*($C$9*(1-($C$19+$C$20*MAX(0,$B$34-$C$16)+C$32)/100)))+$C$12*$C$29/100))+$C$13)-($C$6*$C$10+$C$7*$C$11+$C$12*(1-$C$28/100)+$C$25)-(((($C$6*($C$8*(1-($C$17+$C$18*MAX(0,$B$34-$C$16)+$C$15)/100)))+$C$12*(1-$C$29/100))+(($C$7*($C$9*(1-($C$19+$C$20*MAX(0,$B$34-$C$16)+C$32)/100)))+$C$12*$C$29/100))*$C$21/100)-(((($C$6*($C$8*(1-($C$17+$C$18*MAX(0,$B$34-$C$16)+$C$15)/100)))+$C$12*(1-$C$29/100))+(($C$7*($C$9*(1-($C$19+$C$20*MAX(0,$B$34-$C$16)+C$32)/100)))+$C$12*$C$29/100))*$C$22/100+$C$13*(1-$C$23/100))+$C$24)+$C$26)*(1-$C$27/100))/$C$14</f>
        <v/>
      </c>
      <c r="D34" s="11">
        <f>((((((($C$6*($C$8*(1-($C$17+$C$18*MAX(0,$B$34-$C$16)+$C$15)/100)))+$C$12*(1-$C$29/100))+(($C$7*($C$9*(1-($C$19+$C$20*MAX(0,$B$34-$C$16)+D$32)/100)))+$C$12*$C$29/100))+$C$13)-($C$6*$C$10+$C$7*$C$11+$C$12*(1-$C$28/100)+$C$25)-(((($C$6*($C$8*(1-($C$17+$C$18*MAX(0,$B$34-$C$16)+$C$15)/100)))+$C$12*(1-$C$29/100))+(($C$7*($C$9*(1-($C$19+$C$20*MAX(0,$B$34-$C$16)+D$32)/100)))+$C$12*$C$29/100))*$C$21/100)-(((($C$6*($C$8*(1-($C$17+$C$18*MAX(0,$B$34-$C$16)+$C$15)/100)))+$C$12*(1-$C$29/100))+(($C$7*($C$9*(1-($C$19+$C$20*MAX(0,$B$34-$C$16)+D$32)/100)))+$C$12*$C$29/100))*$C$22/100+$C$13*(1-$C$23/100))+$C$24)+$C$26)*(1-$C$27/100))/$C$14</f>
        <v/>
      </c>
      <c r="E34" s="11">
        <f>((((((($C$6*($C$8*(1-($C$17+$C$18*MAX(0,$B$34-$C$16)+$C$15)/100)))+$C$12*(1-$C$29/100))+(($C$7*($C$9*(1-($C$19+$C$20*MAX(0,$B$34-$C$16)+E$32)/100)))+$C$12*$C$29/100))+$C$13)-($C$6*$C$10+$C$7*$C$11+$C$12*(1-$C$28/100)+$C$25)-(((($C$6*($C$8*(1-($C$17+$C$18*MAX(0,$B$34-$C$16)+$C$15)/100)))+$C$12*(1-$C$29/100))+(($C$7*($C$9*(1-($C$19+$C$20*MAX(0,$B$34-$C$16)+E$32)/100)))+$C$12*$C$29/100))*$C$21/100)-(((($C$6*($C$8*(1-($C$17+$C$18*MAX(0,$B$34-$C$16)+$C$15)/100)))+$C$12*(1-$C$29/100))+(($C$7*($C$9*(1-($C$19+$C$20*MAX(0,$B$34-$C$16)+E$32)/100)))+$C$12*$C$29/100))*$C$22/100+$C$13*(1-$C$23/100))+$C$24)+$C$26)*(1-$C$27/100))/$C$14</f>
        <v/>
      </c>
      <c r="F34" s="11">
        <f>((((((($C$6*($C$8*(1-($C$17+$C$18*MAX(0,$B$34-$C$16)+$C$15)/100)))+$C$12*(1-$C$29/100))+(($C$7*($C$9*(1-($C$19+$C$20*MAX(0,$B$34-$C$16)+F$32)/100)))+$C$12*$C$29/100))+$C$13)-($C$6*$C$10+$C$7*$C$11+$C$12*(1-$C$28/100)+$C$25)-(((($C$6*($C$8*(1-($C$17+$C$18*MAX(0,$B$34-$C$16)+$C$15)/100)))+$C$12*(1-$C$29/100))+(($C$7*($C$9*(1-($C$19+$C$20*MAX(0,$B$34-$C$16)+F$32)/100)))+$C$12*$C$29/100))*$C$21/100)-(((($C$6*($C$8*(1-($C$17+$C$18*MAX(0,$B$34-$C$16)+$C$15)/100)))+$C$12*(1-$C$29/100))+(($C$7*($C$9*(1-($C$19+$C$20*MAX(0,$B$34-$C$16)+F$32)/100)))+$C$12*$C$29/100))*$C$22/100+$C$13*(1-$C$23/100))+$C$24)+$C$26)*(1-$C$27/100))/$C$14</f>
        <v/>
      </c>
      <c r="G34" s="11">
        <f>((((((($C$6*($C$8*(1-($C$17+$C$18*MAX(0,$B$34-$C$16)+$C$15)/100)))+$C$12*(1-$C$29/100))+(($C$7*($C$9*(1-($C$19+$C$20*MAX(0,$B$34-$C$16)+G$32)/100)))+$C$12*$C$29/100))+$C$13)-($C$6*$C$10+$C$7*$C$11+$C$12*(1-$C$28/100)+$C$25)-(((($C$6*($C$8*(1-($C$17+$C$18*MAX(0,$B$34-$C$16)+$C$15)/100)))+$C$12*(1-$C$29/100))+(($C$7*($C$9*(1-($C$19+$C$20*MAX(0,$B$34-$C$16)+G$32)/100)))+$C$12*$C$29/100))*$C$21/100)-(((($C$6*($C$8*(1-($C$17+$C$18*MAX(0,$B$34-$C$16)+$C$15)/100)))+$C$12*(1-$C$29/100))+(($C$7*($C$9*(1-($C$19+$C$20*MAX(0,$B$34-$C$16)+G$32)/100)))+$C$12*$C$29/100))*$C$22/100+$C$13*(1-$C$23/100))+$C$24)+$C$26)*(1-$C$27/100))/$C$14</f>
        <v/>
      </c>
    </row>
    <row r="35">
      <c r="B35" s="67" t="n">
        <v>6.35</v>
      </c>
      <c r="C35" s="11">
        <f>((((((($C$6*($C$8*(1-($C$17+$C$18*MAX(0,$B$35-$C$16)+$C$15)/100)))+$C$12*(1-$C$29/100))+(($C$7*($C$9*(1-($C$19+$C$20*MAX(0,$B$35-$C$16)+C$32)/100)))+$C$12*$C$29/100))+$C$13)-($C$6*$C$10+$C$7*$C$11+$C$12*(1-$C$28/100)+$C$25)-(((($C$6*($C$8*(1-($C$17+$C$18*MAX(0,$B$35-$C$16)+$C$15)/100)))+$C$12*(1-$C$29/100))+(($C$7*($C$9*(1-($C$19+$C$20*MAX(0,$B$35-$C$16)+C$32)/100)))+$C$12*$C$29/100))*$C$21/100)-(((($C$6*($C$8*(1-($C$17+$C$18*MAX(0,$B$35-$C$16)+$C$15)/100)))+$C$12*(1-$C$29/100))+(($C$7*($C$9*(1-($C$19+$C$20*MAX(0,$B$35-$C$16)+C$32)/100)))+$C$12*$C$29/100))*$C$22/100+$C$13*(1-$C$23/100))+$C$24)+$C$26)*(1-$C$27/100))/$C$14</f>
        <v/>
      </c>
      <c r="D35" s="11">
        <f>((((((($C$6*($C$8*(1-($C$17+$C$18*MAX(0,$B$35-$C$16)+$C$15)/100)))+$C$12*(1-$C$29/100))+(($C$7*($C$9*(1-($C$19+$C$20*MAX(0,$B$35-$C$16)+D$32)/100)))+$C$12*$C$29/100))+$C$13)-($C$6*$C$10+$C$7*$C$11+$C$12*(1-$C$28/100)+$C$25)-(((($C$6*($C$8*(1-($C$17+$C$18*MAX(0,$B$35-$C$16)+$C$15)/100)))+$C$12*(1-$C$29/100))+(($C$7*($C$9*(1-($C$19+$C$20*MAX(0,$B$35-$C$16)+D$32)/100)))+$C$12*$C$29/100))*$C$21/100)-(((($C$6*($C$8*(1-($C$17+$C$18*MAX(0,$B$35-$C$16)+$C$15)/100)))+$C$12*(1-$C$29/100))+(($C$7*($C$9*(1-($C$19+$C$20*MAX(0,$B$35-$C$16)+D$32)/100)))+$C$12*$C$29/100))*$C$22/100+$C$13*(1-$C$23/100))+$C$24)+$C$26)*(1-$C$27/100))/$C$14</f>
        <v/>
      </c>
      <c r="E35" s="8">
        <f>((((((($C$6*($C$8*(1-($C$17+$C$18*MAX(0,$B$35-$C$16)+$C$15)/100)))+$C$12*(1-$C$29/100))+(($C$7*($C$9*(1-($C$19+$C$20*MAX(0,$B$35-$C$16)+E$32)/100)))+$C$12*$C$29/100))+$C$13)-($C$6*$C$10+$C$7*$C$11+$C$12*(1-$C$28/100)+$C$25)-(((($C$6*($C$8*(1-($C$17+$C$18*MAX(0,$B$35-$C$16)+$C$15)/100)))+$C$12*(1-$C$29/100))+(($C$7*($C$9*(1-($C$19+$C$20*MAX(0,$B$35-$C$16)+E$32)/100)))+$C$12*$C$29/100))*$C$21/100)-(((($C$6*($C$8*(1-($C$17+$C$18*MAX(0,$B$35-$C$16)+$C$15)/100)))+$C$12*(1-$C$29/100))+(($C$7*($C$9*(1-($C$19+$C$20*MAX(0,$B$35-$C$16)+E$32)/100)))+$C$12*$C$29/100))*$C$22/100+$C$13*(1-$C$23/100))+$C$24)+$C$26)*(1-$C$27/100))/$C$14</f>
        <v/>
      </c>
      <c r="F35" s="11">
        <f>((((((($C$6*($C$8*(1-($C$17+$C$18*MAX(0,$B$35-$C$16)+$C$15)/100)))+$C$12*(1-$C$29/100))+(($C$7*($C$9*(1-($C$19+$C$20*MAX(0,$B$35-$C$16)+F$32)/100)))+$C$12*$C$29/100))+$C$13)-($C$6*$C$10+$C$7*$C$11+$C$12*(1-$C$28/100)+$C$25)-(((($C$6*($C$8*(1-($C$17+$C$18*MAX(0,$B$35-$C$16)+$C$15)/100)))+$C$12*(1-$C$29/100))+(($C$7*($C$9*(1-($C$19+$C$20*MAX(0,$B$35-$C$16)+F$32)/100)))+$C$12*$C$29/100))*$C$21/100)-(((($C$6*($C$8*(1-($C$17+$C$18*MAX(0,$B$35-$C$16)+$C$15)/100)))+$C$12*(1-$C$29/100))+(($C$7*($C$9*(1-($C$19+$C$20*MAX(0,$B$35-$C$16)+F$32)/100)))+$C$12*$C$29/100))*$C$22/100+$C$13*(1-$C$23/100))+$C$24)+$C$26)*(1-$C$27/100))/$C$14</f>
        <v/>
      </c>
      <c r="G35" s="11">
        <f>((((((($C$6*($C$8*(1-($C$17+$C$18*MAX(0,$B$35-$C$16)+$C$15)/100)))+$C$12*(1-$C$29/100))+(($C$7*($C$9*(1-($C$19+$C$20*MAX(0,$B$35-$C$16)+G$32)/100)))+$C$12*$C$29/100))+$C$13)-($C$6*$C$10+$C$7*$C$11+$C$12*(1-$C$28/100)+$C$25)-(((($C$6*($C$8*(1-($C$17+$C$18*MAX(0,$B$35-$C$16)+$C$15)/100)))+$C$12*(1-$C$29/100))+(($C$7*($C$9*(1-($C$19+$C$20*MAX(0,$B$35-$C$16)+G$32)/100)))+$C$12*$C$29/100))*$C$21/100)-(((($C$6*($C$8*(1-($C$17+$C$18*MAX(0,$B$35-$C$16)+$C$15)/100)))+$C$12*(1-$C$29/100))+(($C$7*($C$9*(1-($C$19+$C$20*MAX(0,$B$35-$C$16)+G$32)/100)))+$C$12*$C$29/100))*$C$22/100+$C$13*(1-$C$23/100))+$C$24)+$C$26)*(1-$C$27/100))/$C$14</f>
        <v/>
      </c>
    </row>
    <row r="36">
      <c r="B36" s="67" t="n">
        <v>6.75</v>
      </c>
      <c r="C36" s="11">
        <f>((((((($C$6*($C$8*(1-($C$17+$C$18*MAX(0,$B$36-$C$16)+$C$15)/100)))+$C$12*(1-$C$29/100))+(($C$7*($C$9*(1-($C$19+$C$20*MAX(0,$B$36-$C$16)+C$32)/100)))+$C$12*$C$29/100))+$C$13)-($C$6*$C$10+$C$7*$C$11+$C$12*(1-$C$28/100)+$C$25)-(((($C$6*($C$8*(1-($C$17+$C$18*MAX(0,$B$36-$C$16)+$C$15)/100)))+$C$12*(1-$C$29/100))+(($C$7*($C$9*(1-($C$19+$C$20*MAX(0,$B$36-$C$16)+C$32)/100)))+$C$12*$C$29/100))*$C$21/100)-(((($C$6*($C$8*(1-($C$17+$C$18*MAX(0,$B$36-$C$16)+$C$15)/100)))+$C$12*(1-$C$29/100))+(($C$7*($C$9*(1-($C$19+$C$20*MAX(0,$B$36-$C$16)+C$32)/100)))+$C$12*$C$29/100))*$C$22/100+$C$13*(1-$C$23/100))+$C$24)+$C$26)*(1-$C$27/100))/$C$14</f>
        <v/>
      </c>
      <c r="D36" s="11">
        <f>((((((($C$6*($C$8*(1-($C$17+$C$18*MAX(0,$B$36-$C$16)+$C$15)/100)))+$C$12*(1-$C$29/100))+(($C$7*($C$9*(1-($C$19+$C$20*MAX(0,$B$36-$C$16)+D$32)/100)))+$C$12*$C$29/100))+$C$13)-($C$6*$C$10+$C$7*$C$11+$C$12*(1-$C$28/100)+$C$25)-(((($C$6*($C$8*(1-($C$17+$C$18*MAX(0,$B$36-$C$16)+$C$15)/100)))+$C$12*(1-$C$29/100))+(($C$7*($C$9*(1-($C$19+$C$20*MAX(0,$B$36-$C$16)+D$32)/100)))+$C$12*$C$29/100))*$C$21/100)-(((($C$6*($C$8*(1-($C$17+$C$18*MAX(0,$B$36-$C$16)+$C$15)/100)))+$C$12*(1-$C$29/100))+(($C$7*($C$9*(1-($C$19+$C$20*MAX(0,$B$36-$C$16)+D$32)/100)))+$C$12*$C$29/100))*$C$22/100+$C$13*(1-$C$23/100))+$C$24)+$C$26)*(1-$C$27/100))/$C$14</f>
        <v/>
      </c>
      <c r="E36" s="11">
        <f>((((((($C$6*($C$8*(1-($C$17+$C$18*MAX(0,$B$36-$C$16)+$C$15)/100)))+$C$12*(1-$C$29/100))+(($C$7*($C$9*(1-($C$19+$C$20*MAX(0,$B$36-$C$16)+E$32)/100)))+$C$12*$C$29/100))+$C$13)-($C$6*$C$10+$C$7*$C$11+$C$12*(1-$C$28/100)+$C$25)-(((($C$6*($C$8*(1-($C$17+$C$18*MAX(0,$B$36-$C$16)+$C$15)/100)))+$C$12*(1-$C$29/100))+(($C$7*($C$9*(1-($C$19+$C$20*MAX(0,$B$36-$C$16)+E$32)/100)))+$C$12*$C$29/100))*$C$21/100)-(((($C$6*($C$8*(1-($C$17+$C$18*MAX(0,$B$36-$C$16)+$C$15)/100)))+$C$12*(1-$C$29/100))+(($C$7*($C$9*(1-($C$19+$C$20*MAX(0,$B$36-$C$16)+E$32)/100)))+$C$12*$C$29/100))*$C$22/100+$C$13*(1-$C$23/100))+$C$24)+$C$26)*(1-$C$27/100))/$C$14</f>
        <v/>
      </c>
      <c r="F36" s="11">
        <f>((((((($C$6*($C$8*(1-($C$17+$C$18*MAX(0,$B$36-$C$16)+$C$15)/100)))+$C$12*(1-$C$29/100))+(($C$7*($C$9*(1-($C$19+$C$20*MAX(0,$B$36-$C$16)+F$32)/100)))+$C$12*$C$29/100))+$C$13)-($C$6*$C$10+$C$7*$C$11+$C$12*(1-$C$28/100)+$C$25)-(((($C$6*($C$8*(1-($C$17+$C$18*MAX(0,$B$36-$C$16)+$C$15)/100)))+$C$12*(1-$C$29/100))+(($C$7*($C$9*(1-($C$19+$C$20*MAX(0,$B$36-$C$16)+F$32)/100)))+$C$12*$C$29/100))*$C$21/100)-(((($C$6*($C$8*(1-($C$17+$C$18*MAX(0,$B$36-$C$16)+$C$15)/100)))+$C$12*(1-$C$29/100))+(($C$7*($C$9*(1-($C$19+$C$20*MAX(0,$B$36-$C$16)+F$32)/100)))+$C$12*$C$29/100))*$C$22/100+$C$13*(1-$C$23/100))+$C$24)+$C$26)*(1-$C$27/100))/$C$14</f>
        <v/>
      </c>
      <c r="G36" s="11">
        <f>((((((($C$6*($C$8*(1-($C$17+$C$18*MAX(0,$B$36-$C$16)+$C$15)/100)))+$C$12*(1-$C$29/100))+(($C$7*($C$9*(1-($C$19+$C$20*MAX(0,$B$36-$C$16)+G$32)/100)))+$C$12*$C$29/100))+$C$13)-($C$6*$C$10+$C$7*$C$11+$C$12*(1-$C$28/100)+$C$25)-(((($C$6*($C$8*(1-($C$17+$C$18*MAX(0,$B$36-$C$16)+$C$15)/100)))+$C$12*(1-$C$29/100))+(($C$7*($C$9*(1-($C$19+$C$20*MAX(0,$B$36-$C$16)+G$32)/100)))+$C$12*$C$29/100))*$C$21/100)-(((($C$6*($C$8*(1-($C$17+$C$18*MAX(0,$B$36-$C$16)+$C$15)/100)))+$C$12*(1-$C$29/100))+(($C$7*($C$9*(1-($C$19+$C$20*MAX(0,$B$36-$C$16)+G$32)/100)))+$C$12*$C$29/100))*$C$22/100+$C$13*(1-$C$23/100))+$C$24)+$C$26)*(1-$C$27/100))/$C$14</f>
        <v/>
      </c>
    </row>
    <row r="37">
      <c r="B37" s="67" t="n">
        <v>7.25</v>
      </c>
      <c r="C37" s="11">
        <f>((((((($C$6*($C$8*(1-($C$17+$C$18*MAX(0,$B$37-$C$16)+$C$15)/100)))+$C$12*(1-$C$29/100))+(($C$7*($C$9*(1-($C$19+$C$20*MAX(0,$B$37-$C$16)+C$32)/100)))+$C$12*$C$29/100))+$C$13)-($C$6*$C$10+$C$7*$C$11+$C$12*(1-$C$28/100)+$C$25)-(((($C$6*($C$8*(1-($C$17+$C$18*MAX(0,$B$37-$C$16)+$C$15)/100)))+$C$12*(1-$C$29/100))+(($C$7*($C$9*(1-($C$19+$C$20*MAX(0,$B$37-$C$16)+C$32)/100)))+$C$12*$C$29/100))*$C$21/100)-(((($C$6*($C$8*(1-($C$17+$C$18*MAX(0,$B$37-$C$16)+$C$15)/100)))+$C$12*(1-$C$29/100))+(($C$7*($C$9*(1-($C$19+$C$20*MAX(0,$B$37-$C$16)+C$32)/100)))+$C$12*$C$29/100))*$C$22/100+$C$13*(1-$C$23/100))+$C$24)+$C$26)*(1-$C$27/100))/$C$14</f>
        <v/>
      </c>
      <c r="D37" s="11">
        <f>((((((($C$6*($C$8*(1-($C$17+$C$18*MAX(0,$B$37-$C$16)+$C$15)/100)))+$C$12*(1-$C$29/100))+(($C$7*($C$9*(1-($C$19+$C$20*MAX(0,$B$37-$C$16)+D$32)/100)))+$C$12*$C$29/100))+$C$13)-($C$6*$C$10+$C$7*$C$11+$C$12*(1-$C$28/100)+$C$25)-(((($C$6*($C$8*(1-($C$17+$C$18*MAX(0,$B$37-$C$16)+$C$15)/100)))+$C$12*(1-$C$29/100))+(($C$7*($C$9*(1-($C$19+$C$20*MAX(0,$B$37-$C$16)+D$32)/100)))+$C$12*$C$29/100))*$C$21/100)-(((($C$6*($C$8*(1-($C$17+$C$18*MAX(0,$B$37-$C$16)+$C$15)/100)))+$C$12*(1-$C$29/100))+(($C$7*($C$9*(1-($C$19+$C$20*MAX(0,$B$37-$C$16)+D$32)/100)))+$C$12*$C$29/100))*$C$22/100+$C$13*(1-$C$23/100))+$C$24)+$C$26)*(1-$C$27/100))/$C$14</f>
        <v/>
      </c>
      <c r="E37" s="11">
        <f>((((((($C$6*($C$8*(1-($C$17+$C$18*MAX(0,$B$37-$C$16)+$C$15)/100)))+$C$12*(1-$C$29/100))+(($C$7*($C$9*(1-($C$19+$C$20*MAX(0,$B$37-$C$16)+E$32)/100)))+$C$12*$C$29/100))+$C$13)-($C$6*$C$10+$C$7*$C$11+$C$12*(1-$C$28/100)+$C$25)-(((($C$6*($C$8*(1-($C$17+$C$18*MAX(0,$B$37-$C$16)+$C$15)/100)))+$C$12*(1-$C$29/100))+(($C$7*($C$9*(1-($C$19+$C$20*MAX(0,$B$37-$C$16)+E$32)/100)))+$C$12*$C$29/100))*$C$21/100)-(((($C$6*($C$8*(1-($C$17+$C$18*MAX(0,$B$37-$C$16)+$C$15)/100)))+$C$12*(1-$C$29/100))+(($C$7*($C$9*(1-($C$19+$C$20*MAX(0,$B$37-$C$16)+E$32)/100)))+$C$12*$C$29/100))*$C$22/100+$C$13*(1-$C$23/100))+$C$24)+$C$26)*(1-$C$27/100))/$C$14</f>
        <v/>
      </c>
      <c r="F37" s="11">
        <f>((((((($C$6*($C$8*(1-($C$17+$C$18*MAX(0,$B$37-$C$16)+$C$15)/100)))+$C$12*(1-$C$29/100))+(($C$7*($C$9*(1-($C$19+$C$20*MAX(0,$B$37-$C$16)+F$32)/100)))+$C$12*$C$29/100))+$C$13)-($C$6*$C$10+$C$7*$C$11+$C$12*(1-$C$28/100)+$C$25)-(((($C$6*($C$8*(1-($C$17+$C$18*MAX(0,$B$37-$C$16)+$C$15)/100)))+$C$12*(1-$C$29/100))+(($C$7*($C$9*(1-($C$19+$C$20*MAX(0,$B$37-$C$16)+F$32)/100)))+$C$12*$C$29/100))*$C$21/100)-(((($C$6*($C$8*(1-($C$17+$C$18*MAX(0,$B$37-$C$16)+$C$15)/100)))+$C$12*(1-$C$29/100))+(($C$7*($C$9*(1-($C$19+$C$20*MAX(0,$B$37-$C$16)+F$32)/100)))+$C$12*$C$29/100))*$C$22/100+$C$13*(1-$C$23/100))+$C$24)+$C$26)*(1-$C$27/100))/$C$14</f>
        <v/>
      </c>
      <c r="G37" s="11">
        <f>((((((($C$6*($C$8*(1-($C$17+$C$18*MAX(0,$B$37-$C$16)+$C$15)/100)))+$C$12*(1-$C$29/100))+(($C$7*($C$9*(1-($C$19+$C$20*MAX(0,$B$37-$C$16)+G$32)/100)))+$C$12*$C$29/100))+$C$13)-($C$6*$C$10+$C$7*$C$11+$C$12*(1-$C$28/100)+$C$25)-(((($C$6*($C$8*(1-($C$17+$C$18*MAX(0,$B$37-$C$16)+$C$15)/100)))+$C$12*(1-$C$29/100))+(($C$7*($C$9*(1-($C$19+$C$20*MAX(0,$B$37-$C$16)+G$32)/100)))+$C$12*$C$29/100))*$C$21/100)-(((($C$6*($C$8*(1-($C$17+$C$18*MAX(0,$B$37-$C$16)+$C$15)/100)))+$C$12*(1-$C$29/100))+(($C$7*($C$9*(1-($C$19+$C$20*MAX(0,$B$37-$C$16)+G$32)/100)))+$C$12*$C$29/100))*$C$22/100+$C$13*(1-$C$23/100))+$C$24)+$C$26)*(1-$C$27/100))/$C$14</f>
        <v/>
      </c>
    </row>
    <row r="38" ht="14" customHeight="1"/>
    <row r="39" ht="15.5" customHeight="1">
      <c r="B39" s="3" t="inlineStr">
        <is>
          <t>2027E HOMEBUILDING GROSS MARGIN (%)   —   mortgage rate (down) x Southern competition premium (across)</t>
        </is>
      </c>
      <c r="C39" s="3" t="n"/>
      <c r="D39" s="3" t="n"/>
      <c r="E39" s="3" t="n"/>
      <c r="F39" s="3" t="n"/>
      <c r="G39" s="3" t="n"/>
      <c r="H39" s="3" t="n"/>
      <c r="I39" s="3" t="n"/>
      <c r="J39" s="3" t="n"/>
    </row>
    <row r="40">
      <c r="B40" s="32" t="inlineStr">
        <is>
          <t>30-yr mortgage rate  \  competition premium (pp of gross ASP)</t>
        </is>
      </c>
      <c r="C40" s="67" t="n">
        <v>0.5</v>
      </c>
      <c r="D40" s="67" t="n">
        <v>1.7</v>
      </c>
      <c r="E40" s="67" t="n">
        <v>2.97</v>
      </c>
      <c r="F40" s="67" t="n">
        <v>4.2</v>
      </c>
      <c r="G40" s="67" t="n">
        <v>5.5</v>
      </c>
    </row>
    <row r="41">
      <c r="B41" s="67" t="n">
        <v>5.5</v>
      </c>
      <c r="C41" s="16">
        <f>1-($C$6*$C$10+$C$7*$C$11+$C$12*(1-$C$28/100)+$C$25)/((($C$6*($C$8*(1-($C$17+$C$18*MAX(0,$B$41-$C$16)+$C$15)/100)))+$C$12*(1-$C$29/100))+(($C$7*($C$9*(1-($C$19+$C$20*MAX(0,$B$41-$C$16)+C$40)/100)))+$C$12*$C$29/100))</f>
        <v/>
      </c>
      <c r="D41" s="16">
        <f>1-($C$6*$C$10+$C$7*$C$11+$C$12*(1-$C$28/100)+$C$25)/((($C$6*($C$8*(1-($C$17+$C$18*MAX(0,$B$41-$C$16)+$C$15)/100)))+$C$12*(1-$C$29/100))+(($C$7*($C$9*(1-($C$19+$C$20*MAX(0,$B$41-$C$16)+D$40)/100)))+$C$12*$C$29/100))</f>
        <v/>
      </c>
      <c r="E41" s="16">
        <f>1-($C$6*$C$10+$C$7*$C$11+$C$12*(1-$C$28/100)+$C$25)/((($C$6*($C$8*(1-($C$17+$C$18*MAX(0,$B$41-$C$16)+$C$15)/100)))+$C$12*(1-$C$29/100))+(($C$7*($C$9*(1-($C$19+$C$20*MAX(0,$B$41-$C$16)+E$40)/100)))+$C$12*$C$29/100))</f>
        <v/>
      </c>
      <c r="F41" s="16">
        <f>1-($C$6*$C$10+$C$7*$C$11+$C$12*(1-$C$28/100)+$C$25)/((($C$6*($C$8*(1-($C$17+$C$18*MAX(0,$B$41-$C$16)+$C$15)/100)))+$C$12*(1-$C$29/100))+(($C$7*($C$9*(1-($C$19+$C$20*MAX(0,$B$41-$C$16)+F$40)/100)))+$C$12*$C$29/100))</f>
        <v/>
      </c>
      <c r="G41" s="16">
        <f>1-($C$6*$C$10+$C$7*$C$11+$C$12*(1-$C$28/100)+$C$25)/((($C$6*($C$8*(1-($C$17+$C$18*MAX(0,$B$41-$C$16)+$C$15)/100)))+$C$12*(1-$C$29/100))+(($C$7*($C$9*(1-($C$19+$C$20*MAX(0,$B$41-$C$16)+G$40)/100)))+$C$12*$C$29/100))</f>
        <v/>
      </c>
      <c r="L41" s="9" t="inlineStr">
        <is>
          <t>For reference, MHO ran a 24.7% homebuilding gross margin in 2024 and 19.5% in the first half of 2026.</t>
        </is>
      </c>
    </row>
    <row r="42">
      <c r="B42" s="67" t="n">
        <v>6</v>
      </c>
      <c r="C42" s="16">
        <f>1-($C$6*$C$10+$C$7*$C$11+$C$12*(1-$C$28/100)+$C$25)/((($C$6*($C$8*(1-($C$17+$C$18*MAX(0,$B$42-$C$16)+$C$15)/100)))+$C$12*(1-$C$29/100))+(($C$7*($C$9*(1-($C$19+$C$20*MAX(0,$B$42-$C$16)+C$40)/100)))+$C$12*$C$29/100))</f>
        <v/>
      </c>
      <c r="D42" s="16">
        <f>1-($C$6*$C$10+$C$7*$C$11+$C$12*(1-$C$28/100)+$C$25)/((($C$6*($C$8*(1-($C$17+$C$18*MAX(0,$B$42-$C$16)+$C$15)/100)))+$C$12*(1-$C$29/100))+(($C$7*($C$9*(1-($C$19+$C$20*MAX(0,$B$42-$C$16)+D$40)/100)))+$C$12*$C$29/100))</f>
        <v/>
      </c>
      <c r="E42" s="16">
        <f>1-($C$6*$C$10+$C$7*$C$11+$C$12*(1-$C$28/100)+$C$25)/((($C$6*($C$8*(1-($C$17+$C$18*MAX(0,$B$42-$C$16)+$C$15)/100)))+$C$12*(1-$C$29/100))+(($C$7*($C$9*(1-($C$19+$C$20*MAX(0,$B$42-$C$16)+E$40)/100)))+$C$12*$C$29/100))</f>
        <v/>
      </c>
      <c r="F42" s="16">
        <f>1-($C$6*$C$10+$C$7*$C$11+$C$12*(1-$C$28/100)+$C$25)/((($C$6*($C$8*(1-($C$17+$C$18*MAX(0,$B$42-$C$16)+$C$15)/100)))+$C$12*(1-$C$29/100))+(($C$7*($C$9*(1-($C$19+$C$20*MAX(0,$B$42-$C$16)+F$40)/100)))+$C$12*$C$29/100))</f>
        <v/>
      </c>
      <c r="G42" s="16">
        <f>1-($C$6*$C$10+$C$7*$C$11+$C$12*(1-$C$28/100)+$C$25)/((($C$6*($C$8*(1-($C$17+$C$18*MAX(0,$B$42-$C$16)+$C$15)/100)))+$C$12*(1-$C$29/100))+(($C$7*($C$9*(1-($C$19+$C$20*MAX(0,$B$42-$C$16)+G$40)/100)))+$C$12*$C$29/100))</f>
        <v/>
      </c>
    </row>
    <row r="43">
      <c r="B43" s="67" t="n">
        <v>6.35</v>
      </c>
      <c r="C43" s="16">
        <f>1-($C$6*$C$10+$C$7*$C$11+$C$12*(1-$C$28/100)+$C$25)/((($C$6*($C$8*(1-($C$17+$C$18*MAX(0,$B$43-$C$16)+$C$15)/100)))+$C$12*(1-$C$29/100))+(($C$7*($C$9*(1-($C$19+$C$20*MAX(0,$B$43-$C$16)+C$40)/100)))+$C$12*$C$29/100))</f>
        <v/>
      </c>
      <c r="D43" s="16">
        <f>1-($C$6*$C$10+$C$7*$C$11+$C$12*(1-$C$28/100)+$C$25)/((($C$6*($C$8*(1-($C$17+$C$18*MAX(0,$B$43-$C$16)+$C$15)/100)))+$C$12*(1-$C$29/100))+(($C$7*($C$9*(1-($C$19+$C$20*MAX(0,$B$43-$C$16)+D$40)/100)))+$C$12*$C$29/100))</f>
        <v/>
      </c>
      <c r="E43" s="65">
        <f>1-($C$6*$C$10+$C$7*$C$11+$C$12*(1-$C$28/100)+$C$25)/((($C$6*($C$8*(1-($C$17+$C$18*MAX(0,$B$43-$C$16)+$C$15)/100)))+$C$12*(1-$C$29/100))+(($C$7*($C$9*(1-($C$19+$C$20*MAX(0,$B$43-$C$16)+E$40)/100)))+$C$12*$C$29/100))</f>
        <v/>
      </c>
      <c r="F43" s="16">
        <f>1-($C$6*$C$10+$C$7*$C$11+$C$12*(1-$C$28/100)+$C$25)/((($C$6*($C$8*(1-($C$17+$C$18*MAX(0,$B$43-$C$16)+$C$15)/100)))+$C$12*(1-$C$29/100))+(($C$7*($C$9*(1-($C$19+$C$20*MAX(0,$B$43-$C$16)+F$40)/100)))+$C$12*$C$29/100))</f>
        <v/>
      </c>
      <c r="G43" s="16">
        <f>1-($C$6*$C$10+$C$7*$C$11+$C$12*(1-$C$28/100)+$C$25)/((($C$6*($C$8*(1-($C$17+$C$18*MAX(0,$B$43-$C$16)+$C$15)/100)))+$C$12*(1-$C$29/100))+(($C$7*($C$9*(1-($C$19+$C$20*MAX(0,$B$43-$C$16)+G$40)/100)))+$C$12*$C$29/100))</f>
        <v/>
      </c>
    </row>
    <row r="44">
      <c r="B44" s="67" t="n">
        <v>6.75</v>
      </c>
      <c r="C44" s="16">
        <f>1-($C$6*$C$10+$C$7*$C$11+$C$12*(1-$C$28/100)+$C$25)/((($C$6*($C$8*(1-($C$17+$C$18*MAX(0,$B$44-$C$16)+$C$15)/100)))+$C$12*(1-$C$29/100))+(($C$7*($C$9*(1-($C$19+$C$20*MAX(0,$B$44-$C$16)+C$40)/100)))+$C$12*$C$29/100))</f>
        <v/>
      </c>
      <c r="D44" s="16">
        <f>1-($C$6*$C$10+$C$7*$C$11+$C$12*(1-$C$28/100)+$C$25)/((($C$6*($C$8*(1-($C$17+$C$18*MAX(0,$B$44-$C$16)+$C$15)/100)))+$C$12*(1-$C$29/100))+(($C$7*($C$9*(1-($C$19+$C$20*MAX(0,$B$44-$C$16)+D$40)/100)))+$C$12*$C$29/100))</f>
        <v/>
      </c>
      <c r="E44" s="16">
        <f>1-($C$6*$C$10+$C$7*$C$11+$C$12*(1-$C$28/100)+$C$25)/((($C$6*($C$8*(1-($C$17+$C$18*MAX(0,$B$44-$C$16)+$C$15)/100)))+$C$12*(1-$C$29/100))+(($C$7*($C$9*(1-($C$19+$C$20*MAX(0,$B$44-$C$16)+E$40)/100)))+$C$12*$C$29/100))</f>
        <v/>
      </c>
      <c r="F44" s="16">
        <f>1-($C$6*$C$10+$C$7*$C$11+$C$12*(1-$C$28/100)+$C$25)/((($C$6*($C$8*(1-($C$17+$C$18*MAX(0,$B$44-$C$16)+$C$15)/100)))+$C$12*(1-$C$29/100))+(($C$7*($C$9*(1-($C$19+$C$20*MAX(0,$B$44-$C$16)+F$40)/100)))+$C$12*$C$29/100))</f>
        <v/>
      </c>
      <c r="G44" s="16">
        <f>1-($C$6*$C$10+$C$7*$C$11+$C$12*(1-$C$28/100)+$C$25)/((($C$6*($C$8*(1-($C$17+$C$18*MAX(0,$B$44-$C$16)+$C$15)/100)))+$C$12*(1-$C$29/100))+(($C$7*($C$9*(1-($C$19+$C$20*MAX(0,$B$44-$C$16)+G$40)/100)))+$C$12*$C$29/100))</f>
        <v/>
      </c>
    </row>
    <row r="45">
      <c r="B45" s="67" t="n">
        <v>7.25</v>
      </c>
      <c r="C45" s="16">
        <f>1-($C$6*$C$10+$C$7*$C$11+$C$12*(1-$C$28/100)+$C$25)/((($C$6*($C$8*(1-($C$17+$C$18*MAX(0,$B$45-$C$16)+$C$15)/100)))+$C$12*(1-$C$29/100))+(($C$7*($C$9*(1-($C$19+$C$20*MAX(0,$B$45-$C$16)+C$40)/100)))+$C$12*$C$29/100))</f>
        <v/>
      </c>
      <c r="D45" s="16">
        <f>1-($C$6*$C$10+$C$7*$C$11+$C$12*(1-$C$28/100)+$C$25)/((($C$6*($C$8*(1-($C$17+$C$18*MAX(0,$B$45-$C$16)+$C$15)/100)))+$C$12*(1-$C$29/100))+(($C$7*($C$9*(1-($C$19+$C$20*MAX(0,$B$45-$C$16)+D$40)/100)))+$C$12*$C$29/100))</f>
        <v/>
      </c>
      <c r="E45" s="16">
        <f>1-($C$6*$C$10+$C$7*$C$11+$C$12*(1-$C$28/100)+$C$25)/((($C$6*($C$8*(1-($C$17+$C$18*MAX(0,$B$45-$C$16)+$C$15)/100)))+$C$12*(1-$C$29/100))+(($C$7*($C$9*(1-($C$19+$C$20*MAX(0,$B$45-$C$16)+E$40)/100)))+$C$12*$C$29/100))</f>
        <v/>
      </c>
      <c r="F45" s="16">
        <f>1-($C$6*$C$10+$C$7*$C$11+$C$12*(1-$C$28/100)+$C$25)/((($C$6*($C$8*(1-($C$17+$C$18*MAX(0,$B$45-$C$16)+$C$15)/100)))+$C$12*(1-$C$29/100))+(($C$7*($C$9*(1-($C$19+$C$20*MAX(0,$B$45-$C$16)+F$40)/100)))+$C$12*$C$29/100))</f>
        <v/>
      </c>
      <c r="G45" s="16">
        <f>1-($C$6*$C$10+$C$7*$C$11+$C$12*(1-$C$28/100)+$C$25)/((($C$6*($C$8*(1-($C$17+$C$18*MAX(0,$B$45-$C$16)+$C$15)/100)))+$C$12*(1-$C$29/100))+(($C$7*($C$9*(1-($C$19+$C$20*MAX(0,$B$45-$C$16)+G$40)/100)))+$C$12*$C$29/100))</f>
        <v/>
      </c>
    </row>
    <row r="46" ht="14" customHeight="1"/>
    <row r="47" ht="15.5" customHeight="1">
      <c r="B47" s="3" t="inlineStr">
        <is>
          <t>BASE CASE IS THE SHADED CELL:  6.35% mortgage rate, 4.6pp Southern competition premium</t>
        </is>
      </c>
      <c r="C47" s="3" t="n"/>
      <c r="D47" s="3" t="n"/>
      <c r="E47" s="3" t="n"/>
      <c r="F47" s="3" t="n"/>
      <c r="G47" s="3" t="n"/>
      <c r="H47" s="3" t="n"/>
      <c r="I47" s="3" t="n"/>
      <c r="J47"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2026-09-07T17:48:26Z</dcterms:created>
  <dcterms:modified xsi:type="dcterms:W3CDTF">2026-09-07T17:48:26Z</dcterms:modified>
</cp:coreProperties>
</file>